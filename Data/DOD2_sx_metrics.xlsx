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filterPrivacy="1" defaultThemeVersion="124226"/>
  <xr:revisionPtr revIDLastSave="867" documentId="13_ncr:1_{38BBC505-3AF9-4BA4-9785-44C89F7E4A63}" xr6:coauthVersionLast="47" xr6:coauthVersionMax="47" xr10:uidLastSave="{F0218983-71B7-4BCF-8A70-8F6385841359}"/>
  <bookViews>
    <workbookView xWindow="10230" yWindow="0" windowWidth="27870" windowHeight="12810" xr2:uid="{00000000-000D-0000-FFFF-FFFF00000000}"/>
  </bookViews>
  <sheets>
    <sheet name="SX" sheetId="1" r:id="rId1"/>
    <sheet name="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6" i="1" l="1"/>
  <c r="I87" i="1"/>
  <c r="I88" i="1"/>
  <c r="I89" i="1"/>
  <c r="I90" i="1"/>
  <c r="I91" i="1"/>
  <c r="I92" i="1"/>
  <c r="I93" i="1"/>
  <c r="I70" i="1"/>
  <c r="I71" i="1"/>
  <c r="I72" i="1"/>
  <c r="I73" i="1"/>
  <c r="I74" i="1"/>
  <c r="I75" i="1"/>
  <c r="I76" i="1"/>
  <c r="I77" i="1"/>
  <c r="I78" i="1"/>
  <c r="I79" i="1"/>
  <c r="I80" i="1"/>
  <c r="I81" i="1"/>
  <c r="I82" i="1"/>
  <c r="I83" i="1"/>
  <c r="I84" i="1"/>
  <c r="I85" i="1"/>
  <c r="I53" i="1"/>
  <c r="I54" i="1"/>
  <c r="I55" i="1"/>
  <c r="I56" i="1"/>
  <c r="I57" i="1"/>
  <c r="I58" i="1"/>
  <c r="I59" i="1"/>
  <c r="I60" i="1"/>
  <c r="I61" i="1"/>
  <c r="I62" i="1"/>
  <c r="I63" i="1"/>
  <c r="I64" i="1"/>
  <c r="I65" i="1"/>
  <c r="I66" i="1"/>
  <c r="I67" i="1"/>
  <c r="I68" i="1"/>
  <c r="I69" i="1"/>
  <c r="I40" i="1"/>
  <c r="I49" i="1"/>
  <c r="I50" i="1"/>
  <c r="I51" i="1"/>
  <c r="I52" i="1"/>
  <c r="I45" i="1"/>
  <c r="I46" i="1"/>
  <c r="I47" i="1"/>
  <c r="I48" i="1"/>
  <c r="I42" i="1"/>
  <c r="I43" i="1"/>
  <c r="I44" i="1"/>
  <c r="I39" i="1"/>
  <c r="I41" i="1"/>
  <c r="I34" i="1"/>
  <c r="I35" i="1"/>
  <c r="I36" i="1"/>
  <c r="I37" i="1"/>
  <c r="I38" i="1"/>
  <c r="I32" i="1"/>
  <c r="I33" i="1"/>
  <c r="I28" i="1"/>
  <c r="I29" i="1"/>
  <c r="I30" i="1"/>
  <c r="I31" i="1"/>
  <c r="I25" i="1"/>
  <c r="I26" i="1"/>
  <c r="I27" i="1"/>
  <c r="I21" i="1"/>
  <c r="I22" i="1"/>
  <c r="I23" i="1"/>
  <c r="I24" i="1"/>
  <c r="I17" i="1"/>
  <c r="I18" i="1"/>
  <c r="I19" i="1"/>
  <c r="I20" i="1"/>
  <c r="I13" i="1"/>
  <c r="I14" i="1"/>
  <c r="I15" i="1"/>
  <c r="I16" i="1"/>
  <c r="I4" i="1"/>
  <c r="I5" i="1"/>
  <c r="I6" i="1"/>
  <c r="I7" i="1"/>
  <c r="I8" i="1"/>
  <c r="I9" i="1"/>
  <c r="I10" i="1"/>
  <c r="I11" i="1"/>
  <c r="I12" i="1"/>
  <c r="I3" i="1"/>
</calcChain>
</file>

<file path=xl/sharedStrings.xml><?xml version="1.0" encoding="utf-8"?>
<sst xmlns="http://schemas.openxmlformats.org/spreadsheetml/2006/main" count="2460" uniqueCount="258">
  <si>
    <t>animal</t>
  </si>
  <si>
    <t>start_date</t>
  </si>
  <si>
    <t>end_date</t>
  </si>
  <si>
    <t>weight</t>
  </si>
  <si>
    <t>sx_on_prot</t>
  </si>
  <si>
    <t>sx_ok</t>
  </si>
  <si>
    <t>preinjury_ok</t>
  </si>
  <si>
    <t>postinjury_ok</t>
  </si>
  <si>
    <t>included</t>
  </si>
  <si>
    <t>excluded</t>
  </si>
  <si>
    <t>cilastatin_freebase</t>
  </si>
  <si>
    <t>cila5x</t>
  </si>
  <si>
    <t>cilastatin_mfg</t>
  </si>
  <si>
    <t>calcitriol</t>
  </si>
  <si>
    <t>cal_bolus</t>
  </si>
  <si>
    <t>injured</t>
  </si>
  <si>
    <t>model</t>
  </si>
  <si>
    <t>impacts_tot</t>
  </si>
  <si>
    <t>bilateral</t>
  </si>
  <si>
    <t>surgeon</t>
  </si>
  <si>
    <t>blv_bolus</t>
  </si>
  <si>
    <t>notes_sx</t>
  </si>
  <si>
    <t>K_iv_bolus_vol</t>
  </si>
  <si>
    <t>last_sd</t>
  </si>
  <si>
    <t>sac_sx</t>
  </si>
  <si>
    <t>sac_draw</t>
  </si>
  <si>
    <t>sac_hr</t>
  </si>
  <si>
    <t>notes_sac</t>
  </si>
  <si>
    <t>iohexol_6h</t>
  </si>
  <si>
    <t>iohexol_24h</t>
  </si>
  <si>
    <t>iohexol_48h</t>
  </si>
  <si>
    <t>notes_iohexol</t>
  </si>
  <si>
    <t>kidney_done</t>
  </si>
  <si>
    <t>notes_kidney</t>
  </si>
  <si>
    <t>aliquot_done</t>
  </si>
  <si>
    <t>BCA_done</t>
  </si>
  <si>
    <t>CR_done</t>
  </si>
  <si>
    <t>MBpl_done</t>
  </si>
  <si>
    <t>MBur_done</t>
  </si>
  <si>
    <t>CK_Biovision_done</t>
  </si>
  <si>
    <t>PORur_done</t>
  </si>
  <si>
    <t>iohexol_done</t>
  </si>
  <si>
    <t>PT_done</t>
  </si>
  <si>
    <t>calcitriol_done</t>
  </si>
  <si>
    <t>CK_OHCL_done</t>
  </si>
  <si>
    <t>Kur_flame_done</t>
  </si>
  <si>
    <t>Naur_flame_done</t>
  </si>
  <si>
    <t>FFPE_block_done</t>
  </si>
  <si>
    <t>FFPE_slides_done</t>
  </si>
  <si>
    <t>date</t>
  </si>
  <si>
    <t>kg</t>
  </si>
  <si>
    <t>boolean</t>
  </si>
  <si>
    <t>mg/kg</t>
  </si>
  <si>
    <t>ug</t>
  </si>
  <si>
    <t>count</t>
  </si>
  <si>
    <t>mL</t>
  </si>
  <si>
    <t>timepoint</t>
  </si>
  <si>
    <t>hours</t>
  </si>
  <si>
    <t>CHI1</t>
  </si>
  <si>
    <t>nd</t>
  </si>
  <si>
    <t>NA</t>
  </si>
  <si>
    <t>na</t>
  </si>
  <si>
    <t>JE</t>
  </si>
  <si>
    <t>plasma, urine collected; both kidneys to Dr. Andeen; 4 x 2.7mL vacutainers gave 6mL plasma</t>
  </si>
  <si>
    <t>left perfused, right not perfused</t>
  </si>
  <si>
    <t>n</t>
  </si>
  <si>
    <t>CHI2</t>
  </si>
  <si>
    <t>plasma, one unperfused kidney to Dr. Andeen; plasma shows hemolysis</t>
  </si>
  <si>
    <t>left not perfused, right perfused</t>
  </si>
  <si>
    <t>y</t>
  </si>
  <si>
    <t>CHI3</t>
  </si>
  <si>
    <t>plasma, one unperfused kidney to Dr. Andeen</t>
  </si>
  <si>
    <t>CHI4</t>
  </si>
  <si>
    <t>CHI5</t>
  </si>
  <si>
    <t>pchs</t>
  </si>
  <si>
    <t>no drug; euthenized some time after 24h; no 48h iohexol, std draw, and no kidney; poor ventilation, eventually ARDS;</t>
  </si>
  <si>
    <t>no sac draws; ended @24h</t>
  </si>
  <si>
    <t>24h@120min was at 150min</t>
  </si>
  <si>
    <t>ND</t>
  </si>
  <si>
    <t>TRC</t>
  </si>
  <si>
    <t>cil-na (TRC) 4.74g (equiv to 4.48 base); heart stopped beating before 24h-excessive potassium, ended early before 24h iohexol; diarrhea for days b4 sx</t>
  </si>
  <si>
    <t>omics urine draw missed;  diarrhea and vomiting b4 sx; missing a citrate buffer sample; std urines diluted in 1:5 100mM PB</t>
  </si>
  <si>
    <t>iohexol1@15 was done at 20min;</t>
  </si>
  <si>
    <t>kidney in saline 4C to Nicole - she said leave off saline hereon.</t>
  </si>
  <si>
    <t xml:space="preserve">new iohexol run0 at1-6h (was missed); std draw 1 missed (pig was arresting before hyperkalemia (low Hct); insulin was tried on hyperkalemia; std urines 1:5 in PB and quick frozen; omics urine unchanged; </t>
  </si>
  <si>
    <t>kidney 4C to Nicole</t>
  </si>
  <si>
    <t xml:space="preserve">adding iohexol run0, more fluids + insulin to keep K under 5 if possible -- about every 2h given 500mL bolus Dextrose Ringers + insulin+Ca2; @2hr std urine was done @3h.; ARDS eventually; urines very poorly labeled - pooled whole teams knowledge to decide vial id's; omics urines frozen on dry ice; otherwise same as DOD2-4. </t>
  </si>
  <si>
    <t>no sac ur @38h</t>
  </si>
  <si>
    <t>kidney 4C on ice to Nicole.</t>
  </si>
  <si>
    <t xml:space="preserve">continue iohexol run0; fluids + insulin + Ca when K &gt; 5-5.5; continue freeze urines; </t>
  </si>
  <si>
    <t xml:space="preserve">continuing protocol as with #6; </t>
  </si>
  <si>
    <t>continuing protocol as with #6; plasma and istat baselines were taken AFTER PC injury; marking as quality 2 all assays(10/5/21acm)</t>
  </si>
  <si>
    <t>same protocol as with #6; surgical error-died before 0h</t>
  </si>
  <si>
    <t>sham</t>
  </si>
  <si>
    <t>sham sx: intubation+art+vent+foley+chest-tube</t>
  </si>
  <si>
    <t>MB</t>
  </si>
  <si>
    <t>sham sx: intubation+art+vent+foley+chest-tube; animal was agitated, difficult to put under</t>
  </si>
  <si>
    <t>back to std injury + 1 cil dose @ 0h</t>
  </si>
  <si>
    <t>back to std injury + 1 cil dose @ 0h; died early; no sac draws; Mari told me only 1 PC, gun problem; so she bled extra to compensate. Protocol breach (IMOacm).</t>
  </si>
  <si>
    <t>no sac draws; ended @12h</t>
  </si>
  <si>
    <t>kidney at 4C many hours; transport to RJH at 1430</t>
  </si>
  <si>
    <t>1:1 blood loss volume fluids was not given. believe none were being given the bolus except 6&amp;7;not carefully logged; logs have been reviewed by J.Garay for this now.</t>
  </si>
  <si>
    <t>kidney at 4C many hours; transport to RJH at 1030</t>
  </si>
  <si>
    <t>sham sx: jumpy getting sedative; [suggests animal handling is stressful]</t>
  </si>
  <si>
    <t>kidney at 4C many hours; transport to RJH at 1030; left in ice until after 1200</t>
  </si>
  <si>
    <t>back to std injury</t>
  </si>
  <si>
    <t>no sac draws; ended @6h</t>
  </si>
  <si>
    <t>kidney at 4C since 6pm prior day; transport to RJH 11:30</t>
  </si>
  <si>
    <t>pigs are dying early; trying vehicle to verify if its drug; nope. not drug.</t>
  </si>
  <si>
    <t>no sac draws</t>
  </si>
  <si>
    <t>kidney at 4C since previous evening; transport mid afternoon 12/8</t>
  </si>
  <si>
    <t>pigs are dying early; another try with vehicle; animal died before tx bag; best guess: punctured lung with broken rib</t>
  </si>
  <si>
    <t>no draws; failed to reach t0</t>
  </si>
  <si>
    <t>std PC+HS injury model; last draw at 48 was low on blood, but all samples got filled</t>
  </si>
  <si>
    <t>kidney dissected pole end; quick frozen on dry ice; rest to Nicole on ice &lt;45min</t>
  </si>
  <si>
    <t>ff</t>
  </si>
  <si>
    <t>new model, no blood loss; just bruise the thigh; same 10%-3h, 5%-3h mt fluids as before; hereon, taking only 3 green tubes for std hep plasma (to conserve tubes and we don't need 5 tubes worth).</t>
  </si>
  <si>
    <t>4 or 7 samples: 48h 3,4,5 timepoints missed due to clogged art line</t>
  </si>
  <si>
    <t>kidney dissected pole end; quick frozen on dry ice; rest to Vanderlene on ice &lt;45min</t>
  </si>
  <si>
    <t>hereon hypK bolus will be 100mL w/ same sugar, not 500mL; 3 hits -- establishing ff protocol</t>
  </si>
  <si>
    <t>kidney dissected pole end; quick frozen on dry ice; rest to Nicole on ice &lt;30min</t>
  </si>
  <si>
    <t>1st attempt calcitriol; Dramatic MAP/EtCO2 response to tx bolus--see ANES log; 1uL of 1ug/mL calcitriol added to cila; 4 hits unilat.</t>
  </si>
  <si>
    <t>redo</t>
  </si>
  <si>
    <t>tx bag gravity fed ~7 min; impacts bilateral divided equally</t>
  </si>
  <si>
    <t>kidney biopsies done at OR within 10 minutes to dry ice; rest to Nicole on ice &lt;30min</t>
  </si>
  <si>
    <t>tx bag gravity fed ~5 min; impacts bilateral divided equally; 24h run intended; exclusion for excess injury (acm)</t>
  </si>
  <si>
    <t>@ 5h 40min</t>
  </si>
  <si>
    <t>run 0 draw 7 was early by 19 minutes! (sac draw)</t>
  </si>
  <si>
    <t>kidney pulled at death put in fridge; tissue cores taken next day at noon.</t>
  </si>
  <si>
    <t>hereon: 2x2 impacts bilateral + also 2nd (time zero) tx bag (100cc Dex 5) veh or 1ug calcitriol (USP) over 1hr; bladder leak --stopped sx as no urine sampling available after zero hour; excluded for no urines (acm)</t>
  </si>
  <si>
    <t>no urines beyond sd#1</t>
  </si>
  <si>
    <t>run0 was incomplete due to early sac</t>
  </si>
  <si>
    <t>hereon Schreiber team taking kidney cores 2x2 for quick freeze; kidney pulled and two cores taken per SOP by surg team</t>
  </si>
  <si>
    <t>see notes on kidney; protocol breach at 48h, otherwise okay.</t>
  </si>
  <si>
    <t>run2, draw 3 was not made</t>
  </si>
  <si>
    <t>kidney was in animal an extra hour while ~250mL blood was drawn; protocol breach w.r.t kidney; cores likewise were therefore taken under likely hypoxic conditions</t>
  </si>
  <si>
    <t>kidney was tied off and removed live at 48h to allow subsequent large blood draws by 3rd group; cores done by ACM and Moqing together. Remove capsule before coring.</t>
  </si>
  <si>
    <t>assuming kidney removed live at 48h like last week</t>
  </si>
  <si>
    <t>early ending due to low MAP; severe GFR loss at 24h(acm)</t>
  </si>
  <si>
    <t>cores taken in OR; kidney at 4C from 8pm Weds.; to Vanderlene 11am Thurs for fixing</t>
  </si>
  <si>
    <t>kidney to Nicole, cores taken in OR as usual</t>
  </si>
  <si>
    <t xml:space="preserve"> n</t>
  </si>
  <si>
    <t>citrate pl draw 0 sample was lost in OR somewhere (see Teams 5/9/22 convo with ACM,JG,ML.</t>
  </si>
  <si>
    <t>no protocol run; test surgery only; excluded for over 50kg weight limit</t>
  </si>
  <si>
    <t>SD</t>
  </si>
  <si>
    <t>no protocol run; test surgery only; new resident training; not enough surgeons for a full run</t>
  </si>
  <si>
    <t xml:space="preserve"> SD</t>
  </si>
  <si>
    <t>NEW SURGEON: Sam's first protocol run; MAP dropped severely at time of treatment bolus (gravity fed) -- unknown cause</t>
  </si>
  <si>
    <t>kidney came out dark blue/black rather than brick colored, and ~2x thicker than usual (acm observed); Andeen found cysts--made additional block/slide of cyst</t>
  </si>
  <si>
    <t>run0, draw 6 was not made</t>
  </si>
  <si>
    <t>takes about 15 minutes post-48 to dissect kidney, take cores, and bag kidney for pathology</t>
  </si>
  <si>
    <t>20 minutes post-48h.</t>
  </si>
  <si>
    <t>run0dr3: 98min, run2dr4 126min, run2dr5 185min</t>
  </si>
  <si>
    <t>protocol breach, extra 2.5-3 hours to get carotid atrial catheter in place, eventually put in femoral artery, 1st Kiv @ 0hr 5.9</t>
  </si>
  <si>
    <t>sham, same protocol as previously, veh treatment fluids, early sac ~1am; Schreiber lab conferred and feels malignant hyperthermia was likely culprit. The chance is high in our species of pig. Long discussion with Karen afterward, seems plausible (acm). Unusually hyperkalemic at baseline.</t>
  </si>
  <si>
    <t>no sac draws reqd &lt; 2hr from std draw</t>
  </si>
  <si>
    <t>cores taken in OR ~01:30hr; kidney at 4C until transport to pathology ~12:00hr</t>
  </si>
  <si>
    <t>retry for a sham sx; was hyperkalemic even before injury, surg team says intub/catheters went smooth</t>
  </si>
  <si>
    <t>SD4 tubes used for sac draws</t>
  </si>
  <si>
    <t>run0 draw 3 was at 98 minutes</t>
  </si>
  <si>
    <t>cores taken in OR; kidney at 4C from the night before; transported next day ~11:00</t>
  </si>
  <si>
    <t>retry for sham sx; SD7 very hemolytic(coag line); missing SD3 urine</t>
  </si>
  <si>
    <t>retry for veh; back on randomized tx block#3; very early sac; excluding for now(acm); Joe said DCM saw carditis</t>
  </si>
  <si>
    <t>sac urine is 1:5 but total is &lt; 10mL</t>
  </si>
  <si>
    <t>cores taken in OR; kidney at 4C until noon 9/28-transported to pathology</t>
  </si>
  <si>
    <t>retry for veh; back on randomized tx block#3</t>
  </si>
  <si>
    <t>next block#3 "cil"</t>
  </si>
  <si>
    <t>next block#3 "calcil"</t>
  </si>
  <si>
    <t>nonrandom to balance groups per MPH  - "calcil"</t>
  </si>
  <si>
    <t>left in front of Vanderlene's door - looks cystic (overly large, dark)</t>
  </si>
  <si>
    <t>nonrandom to balance groups per MPH  - "veh"</t>
  </si>
  <si>
    <t>nonrandom to balance groups per MPH - "calcil"</t>
  </si>
  <si>
    <t>nonrandom to balance groups per MPH - "veh"; will go back to randomized after this</t>
  </si>
  <si>
    <t>random block#4 2:2:2 ratio hereon</t>
  </si>
  <si>
    <t>hyperkalemic at baseline</t>
  </si>
  <si>
    <t>citrate pl draw 6 missing; but citrate pl sac present; Moqing feels these are maybe 7-&gt;6 sac-&gt;7</t>
  </si>
  <si>
    <t>no sac but cit pl sac vial filled; cit 6 missing</t>
  </si>
  <si>
    <t>one of the draws was late; check logs</t>
  </si>
  <si>
    <t>left in front of Nicoles office.</t>
  </si>
  <si>
    <t>plasma MB was above 300 at baseline -- already sick</t>
  </si>
  <si>
    <t>died unexpectedly/suddenly just after gas tank change; review inconclusive but suggests unnatural death; 4/1/24 attention: sac draws were after dealth, K == 6 is suggestive, but prior checks showed mid to upper 4.x; map stable, temp stable, low CR, low MB</t>
  </si>
  <si>
    <t>sac draws were taken 10-20 minutes after animal died. except istats, which closer to the time of death; citrate pl #7 is actually #sac</t>
  </si>
  <si>
    <t>fridged after removal, transported next midday to Nicole.</t>
  </si>
  <si>
    <t>no urine taken at tp4(12h), bladder empty</t>
  </si>
  <si>
    <t>Vanderlene dunked it - she doesn't block it, just drops whole (slow fixation)</t>
  </si>
  <si>
    <t xml:space="preserve">mt fluid was not turned down at 3h, until 6h; see ANES; ketamine rate accidentally set high (3.4 v 2.4) for several hours; </t>
  </si>
  <si>
    <t>Nicole verified she blocks kidneys</t>
  </si>
  <si>
    <t>MCE</t>
  </si>
  <si>
    <t>switching from TRC to MCE cila sodium</t>
  </si>
  <si>
    <t>Nicole was there to take it</t>
  </si>
  <si>
    <t>Left at Nicoles shut door; no response to knock; Vanderlene got it</t>
  </si>
  <si>
    <t>JG</t>
  </si>
  <si>
    <t>died unexpectedly early am; writeup is inconclusive; sounds like monitor failed</t>
  </si>
  <si>
    <t>no sac draws taken</t>
  </si>
  <si>
    <t>KM</t>
  </si>
  <si>
    <t>Left inside Nicoles open but empty office.</t>
  </si>
  <si>
    <t>LP</t>
  </si>
  <si>
    <t>Luis Tinoco-Garcia; one of two new residents</t>
  </si>
  <si>
    <t>CK</t>
  </si>
  <si>
    <t>Carmen Karsonovich; one of two new residents; surg notes @3h: "snafu with venous line, upon bag change line was off to patient and so did not receive fluid for previous 1 hr, fluid was resumed at higher rate (460ml/hr) to make up for non-infused volume"</t>
  </si>
  <si>
    <t>cila was about 60% TRC and 40% MCE mixed together; ketamine pump failed - was sac due to that? sac istat shows animal likely already deceased (sO2 &lt; 80%)</t>
  </si>
  <si>
    <t>sac draws lacks urine; vials labeled #7, re-identify as sac</t>
  </si>
  <si>
    <t>friged after dissection ~5am</t>
  </si>
  <si>
    <t>run 2 draw 1 additional label added; its a long story ;)</t>
  </si>
  <si>
    <t>Vanderlene took it. Nicole out.</t>
  </si>
  <si>
    <t xml:space="preserve">No one was around. Maybe got handled the next day after Nicole emailed me. </t>
  </si>
  <si>
    <t>Vanderlene</t>
  </si>
  <si>
    <t>ff5x</t>
  </si>
  <si>
    <t>first multi-dosed cilastatin; 60mg/kg in 500ml Plasmalyte at 0h; 14 mg/kg in 100cc 0.9 saline at 6h,12h,18h,24h; no calcitriol bag</t>
  </si>
  <si>
    <t>Nicole was there to take it.</t>
  </si>
  <si>
    <t>variable</t>
  </si>
  <si>
    <t>description</t>
  </si>
  <si>
    <t>values</t>
  </si>
  <si>
    <t>animal ID number; every DOD2 pig was sequentially assigned regardless of use; Dr. Chi pigs were pre-DOD2 practice named "CHIn"</t>
  </si>
  <si>
    <t>positive integer</t>
  </si>
  <si>
    <t>date surgery began</t>
  </si>
  <si>
    <t>excel mm/dd/yyyy</t>
  </si>
  <si>
    <t>date surgery ended</t>
  </si>
  <si>
    <t>kilogram weight of animal on the morning of start_date</t>
  </si>
  <si>
    <t>postive numeric</t>
  </si>
  <si>
    <t>surgery was intended to follow an agreed protocol (see model)</t>
  </si>
  <si>
    <t>1 if true, else 0</t>
  </si>
  <si>
    <t>surgery followed protocol without major deviance, or not.</t>
  </si>
  <si>
    <t>if sx_on_prot true then 1 if true, 0 if false, else NA</t>
  </si>
  <si>
    <t>see canonical_exclusions.xlsx; assay signals suggest animal unwell before injury (post intubation/canulation)</t>
  </si>
  <si>
    <t>if sx_on_prot true, then if sx_ok true, then 1 if true, 0 if false, else NA</t>
  </si>
  <si>
    <t>see canonical_exclusions.xlsx; CK signal suggest animal not injured enough by impact; does not apply to sham model</t>
  </si>
  <si>
    <t>if sx_on_prot true, then if sx_ok true, then if preinjury_ok true, then 1 if true, 0 if false, else NA</t>
  </si>
  <si>
    <t>summary logic value if sx_on_prot &amp; sx_ok &amp; preinjury_ok &amp; postinjury_ok &amp; model in (sham, veh) are all true</t>
  </si>
  <si>
    <t>if sx_on_prot true and sx_ok true and preinjury_ok true and postinjury_ok true and model in (sham,ff) then 1, else 0</t>
  </si>
  <si>
    <t>logical opposite of included; NOTE however this was historically Adam's indicator for surgery NOT ok</t>
  </si>
  <si>
    <t>calculated cilastatin dose adjusted for sodium mass</t>
  </si>
  <si>
    <t>cilastatin was applied at 5 doses rather than 1</t>
  </si>
  <si>
    <t>source of cilastatin powder used</t>
  </si>
  <si>
    <t>dose of calcitriol applied at time of cilastatin</t>
  </si>
  <si>
    <t>volume of solution used to apply calcitriol; initial test was applied in cilastatin (~5min) but then given over 60min in second bag</t>
  </si>
  <si>
    <t>whether muscle injury by blunt force impact was applied</t>
  </si>
  <si>
    <t xml:space="preserve">category of surgical model applied </t>
  </si>
  <si>
    <t>total number of blunt force impacts</t>
  </si>
  <si>
    <t>whether blunt force was applied to both hind limbs or just one</t>
  </si>
  <si>
    <t>if known, who was the lead surgeon to prep and start the experiment; NOTE there were always several surgeons participating over 48h period</t>
  </si>
  <si>
    <t>PCHS model was intended to have replacment volume applied to balance blood loss, however this often did not occur</t>
  </si>
  <si>
    <t xml:space="preserve">free text for Adam's comments about the surgery; often this was gathered from the sx team while picking up the samples at the end </t>
  </si>
  <si>
    <t>volume of solution used when giving an intervention for hyperkalemia; 500mL initially caused edema; later dropped to 100mL</t>
  </si>
  <si>
    <t>timepoint of last standard draws (as opposed to unplanned sac draws)</t>
  </si>
  <si>
    <t>if animal was sacrificed before the 48h protocol had fully completed for any reason</t>
  </si>
  <si>
    <t>if a set of plasma and urine draws were taken before early sacrifice; the results from these is to be taken with salt</t>
  </si>
  <si>
    <t>approximate elapsed hours (since (1st) veh/cila bolus) in case of early sacrifice</t>
  </si>
  <si>
    <t>free text for Adam's comments about why an early sac was done</t>
  </si>
  <si>
    <t>was an iohexol plasma draw series accomplished ending at 6h</t>
  </si>
  <si>
    <t>was an iohexol plasma draw series accomplished ending at 24h</t>
  </si>
  <si>
    <t>was an iohexol plasma draw series accomplished ending at 48h</t>
  </si>
  <si>
    <t>free text for Adam's comments about issues with iohexol draws</t>
  </si>
  <si>
    <t>was a kidney dissected</t>
  </si>
  <si>
    <t>free text for Adam's comments about issues with the kidney</t>
  </si>
  <si>
    <t>assay todo list for managing assay work flow</t>
  </si>
  <si>
    <t>n=not completed, y=completed, redo=some results need retried, na=no plans to run these assays</t>
  </si>
  <si>
    <t>MBur_redone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</si>
</sst>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b/>
      <sz val="10"/>
      <color theme="1"/>
      <name val="Arial"/>
    </font>
    <font>
      <sz val="10"/>
      <color theme="1"/>
      <name val="Arial"/>
    </font>
    <font>
      <sz val="11"/>
      <color rgb="FF444444"/>
      <name val="Arial"/>
    </font>
    <font>
      <sz val="10"/>
      <color rgb="FF000000"/>
      <name val="Arial"/>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1" fontId="1" fillId="0" borderId="1" xfId="0" applyNumberFormat="1" applyFont="1" applyBorder="1" applyAlignment="1">
      <alignment horizontal="center" wrapText="1"/>
    </xf>
    <xf numFmtId="164" fontId="1" fillId="0" borderId="1" xfId="0" applyNumberFormat="1" applyFont="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wrapText="1"/>
    </xf>
    <xf numFmtId="49" fontId="1" fillId="0" borderId="1" xfId="0" applyNumberFormat="1" applyFont="1" applyBorder="1" applyAlignment="1">
      <alignment horizontal="left" wrapText="1"/>
    </xf>
    <xf numFmtId="49" fontId="1" fillId="0" borderId="1" xfId="0" applyNumberFormat="1" applyFont="1" applyBorder="1" applyAlignment="1">
      <alignment horizontal="center" wrapText="1"/>
    </xf>
    <xf numFmtId="164" fontId="1" fillId="0" borderId="1" xfId="0" applyNumberFormat="1" applyFont="1" applyBorder="1" applyAlignment="1">
      <alignment horizontal="right" wrapText="1"/>
    </xf>
    <xf numFmtId="1" fontId="1" fillId="0" borderId="1" xfId="0" applyNumberFormat="1" applyFont="1" applyBorder="1" applyAlignment="1">
      <alignment horizontal="right" wrapText="1"/>
    </xf>
    <xf numFmtId="0" fontId="1" fillId="0" borderId="1" xfId="0" applyFont="1" applyBorder="1" applyAlignment="1">
      <alignment horizontal="right" wrapText="1"/>
    </xf>
    <xf numFmtId="1" fontId="1" fillId="0" borderId="1" xfId="0" applyNumberFormat="1" applyFont="1" applyBorder="1" applyAlignment="1">
      <alignment horizontal="center"/>
    </xf>
    <xf numFmtId="164" fontId="2" fillId="0" borderId="1" xfId="0" applyNumberFormat="1" applyFont="1" applyBorder="1" applyAlignment="1">
      <alignment horizontal="right"/>
    </xf>
    <xf numFmtId="1" fontId="2" fillId="0" borderId="1" xfId="0" applyNumberFormat="1" applyFont="1" applyBorder="1" applyAlignment="1">
      <alignment horizontal="center"/>
    </xf>
    <xf numFmtId="1" fontId="2" fillId="0" borderId="1" xfId="0" applyNumberFormat="1" applyFont="1" applyBorder="1" applyAlignment="1">
      <alignment horizontal="right"/>
    </xf>
    <xf numFmtId="0" fontId="2" fillId="0" borderId="1" xfId="0" applyFont="1" applyBorder="1" applyAlignment="1">
      <alignment horizontal="center"/>
    </xf>
    <xf numFmtId="0" fontId="2" fillId="0" borderId="1" xfId="0" applyFont="1" applyBorder="1" applyAlignment="1">
      <alignment horizontal="left" wrapText="1"/>
    </xf>
    <xf numFmtId="49" fontId="2" fillId="0" borderId="1" xfId="0" applyNumberFormat="1"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right"/>
    </xf>
    <xf numFmtId="2" fontId="1" fillId="0" borderId="1" xfId="0" applyNumberFormat="1" applyFont="1" applyBorder="1" applyAlignment="1">
      <alignment horizontal="center" wrapText="1"/>
    </xf>
    <xf numFmtId="2" fontId="1" fillId="0" borderId="1" xfId="0" applyNumberFormat="1" applyFont="1" applyBorder="1" applyAlignment="1">
      <alignment horizontal="right" wrapText="1"/>
    </xf>
    <xf numFmtId="2" fontId="2" fillId="0" borderId="1" xfId="0" applyNumberFormat="1" applyFont="1" applyBorder="1" applyAlignment="1">
      <alignment horizontal="right"/>
    </xf>
    <xf numFmtId="14" fontId="1" fillId="0" borderId="1" xfId="0" applyNumberFormat="1" applyFont="1" applyBorder="1" applyAlignment="1">
      <alignment horizontal="right" wrapText="1"/>
    </xf>
    <xf numFmtId="14" fontId="2" fillId="0" borderId="1" xfId="0" applyNumberFormat="1" applyFont="1" applyBorder="1" applyAlignment="1">
      <alignment horizontal="right"/>
    </xf>
    <xf numFmtId="1" fontId="2" fillId="3" borderId="1" xfId="0" applyNumberFormat="1" applyFont="1" applyFill="1" applyBorder="1" applyAlignment="1">
      <alignment horizontal="right"/>
    </xf>
    <xf numFmtId="49" fontId="2" fillId="3" borderId="1" xfId="0" applyNumberFormat="1" applyFont="1" applyFill="1" applyBorder="1" applyAlignment="1">
      <alignment horizontal="left" wrapText="1"/>
    </xf>
    <xf numFmtId="0" fontId="3" fillId="0" borderId="0" xfId="0" applyFont="1"/>
    <xf numFmtId="0" fontId="4" fillId="0" borderId="0" xfId="0" applyFont="1"/>
    <xf numFmtId="0" fontId="2" fillId="3" borderId="1" xfId="0" applyFont="1" applyFill="1" applyBorder="1" applyAlignment="1">
      <alignment horizontal="left" wrapText="1"/>
    </xf>
    <xf numFmtId="1" fontId="2" fillId="2" borderId="1" xfId="0" applyNumberFormat="1" applyFont="1" applyFill="1" applyBorder="1" applyAlignment="1">
      <alignment horizontal="center"/>
    </xf>
    <xf numFmtId="49" fontId="2" fillId="3" borderId="1" xfId="0" applyNumberFormat="1" applyFont="1" applyFill="1" applyBorder="1" applyAlignment="1">
      <alignment horizontal="left" vertical="top" wrapText="1"/>
    </xf>
    <xf numFmtId="164" fontId="4" fillId="0" borderId="1" xfId="0" applyNumberFormat="1" applyFont="1" applyBorder="1" applyAlignment="1">
      <alignment horizontal="right"/>
    </xf>
    <xf numFmtId="14" fontId="1" fillId="0" borderId="1" xfId="0" applyNumberFormat="1" applyFont="1" applyBorder="1" applyAlignment="1">
      <alignment horizontal="center" wrapText="1"/>
    </xf>
    <xf numFmtId="1" fontId="1" fillId="0" borderId="1" xfId="0" applyNumberFormat="1" applyFont="1" applyBorder="1" applyAlignment="1">
      <alignment horizontal="left" wrapText="1"/>
    </xf>
    <xf numFmtId="14" fontId="1" fillId="0" borderId="1" xfId="0" applyNumberFormat="1" applyFont="1" applyBorder="1" applyAlignment="1">
      <alignment horizontal="left" wrapText="1"/>
    </xf>
    <xf numFmtId="2" fontId="1" fillId="0" borderId="1" xfId="0" applyNumberFormat="1" applyFont="1" applyBorder="1" applyAlignment="1">
      <alignment horizontal="left" wrapText="1"/>
    </xf>
    <xf numFmtId="164" fontId="1" fillId="0" borderId="1" xfId="0" applyNumberFormat="1" applyFont="1" applyBorder="1" applyAlignment="1">
      <alignment horizontal="left" wrapText="1"/>
    </xf>
    <xf numFmtId="0" fontId="0" fillId="0" borderId="0" xfId="0" applyAlignment="1">
      <alignment horizontal="left"/>
    </xf>
  </cellXfs>
  <cellStyles count="1">
    <cellStyle name="Normal" xfId="0" builtinId="0"/>
  </cellStyles>
  <dxfs count="24">
    <dxf>
      <fill>
        <patternFill>
          <bgColor rgb="FF92D050"/>
        </patternFill>
      </fill>
    </dxf>
    <dxf>
      <fill>
        <patternFill>
          <bgColor theme="0" tint="-0.24994659260841701"/>
        </patternFill>
      </fill>
    </dxf>
    <dxf>
      <fill>
        <patternFill patternType="solid">
          <bgColor rgb="FFFFC000"/>
        </patternFill>
      </fill>
    </dxf>
    <dxf>
      <fill>
        <patternFill>
          <bgColor rgb="FFFFFF00"/>
        </patternFill>
      </fill>
    </dxf>
    <dxf>
      <fill>
        <patternFill>
          <bgColor rgb="FFC6EFCE"/>
        </patternFill>
      </fill>
    </dxf>
    <dxf>
      <fill>
        <patternFill>
          <bgColor rgb="FFC6EFCE"/>
        </patternFill>
      </fill>
    </dxf>
    <dxf>
      <fill>
        <patternFill>
          <bgColor rgb="FFFFC7CE"/>
        </patternFill>
      </fill>
    </dxf>
    <dxf>
      <fill>
        <patternFill patternType="solid">
          <bgColor rgb="FFFFC7CE"/>
        </patternFill>
      </fill>
    </dxf>
    <dxf>
      <fill>
        <patternFill>
          <bgColor rgb="FF92D050"/>
        </patternFill>
      </fill>
    </dxf>
    <dxf>
      <fill>
        <patternFill>
          <bgColor theme="0" tint="-0.24994659260841701"/>
        </patternFill>
      </fill>
    </dxf>
    <dxf>
      <fill>
        <patternFill patternType="solid">
          <bgColor rgb="FFFFC000"/>
        </patternFill>
      </fill>
    </dxf>
    <dxf>
      <fill>
        <patternFill>
          <bgColor rgb="FFFFFF00"/>
        </patternFill>
      </fill>
    </dxf>
    <dxf>
      <fill>
        <patternFill>
          <bgColor rgb="FFC6EFCE"/>
        </patternFill>
      </fill>
    </dxf>
    <dxf>
      <fill>
        <patternFill>
          <bgColor rgb="FFC6EFCE"/>
        </patternFill>
      </fill>
    </dxf>
    <dxf>
      <fill>
        <patternFill>
          <bgColor rgb="FFFFC7CE"/>
        </patternFill>
      </fill>
    </dxf>
    <dxf>
      <fill>
        <patternFill patternType="solid">
          <bgColor rgb="FFFFC7CE"/>
        </patternFill>
      </fill>
    </dxf>
    <dxf>
      <fill>
        <patternFill>
          <bgColor rgb="FF92D050"/>
        </patternFill>
      </fill>
    </dxf>
    <dxf>
      <fill>
        <patternFill>
          <bgColor theme="0" tint="-0.24994659260841701"/>
        </patternFill>
      </fill>
    </dxf>
    <dxf>
      <fill>
        <patternFill patternType="solid">
          <bgColor rgb="FFFFC000"/>
        </patternFill>
      </fill>
    </dxf>
    <dxf>
      <fill>
        <patternFill>
          <bgColor rgb="FFFFFF00"/>
        </patternFill>
      </fill>
    </dxf>
    <dxf>
      <fill>
        <patternFill>
          <bgColor rgb="FFC6EFCE"/>
        </patternFill>
      </fill>
    </dxf>
    <dxf>
      <fill>
        <patternFill>
          <bgColor rgb="FFC6EFCE"/>
        </patternFill>
      </fill>
    </dxf>
    <dxf>
      <fill>
        <patternFill>
          <bgColor rgb="FFFFC7CE"/>
        </patternFill>
      </fill>
    </dxf>
    <dxf>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93"/>
  <sheetViews>
    <sheetView tabSelected="1" workbookViewId="0">
      <pane xSplit="1" ySplit="1" topLeftCell="B11" activePane="bottomRight" state="frozen"/>
      <selection pane="bottomRight" activeCell="G26" sqref="G26"/>
      <selection pane="bottomLeft" activeCell="A2" sqref="A2"/>
      <selection pane="topRight" activeCell="B1" sqref="B1"/>
    </sheetView>
  </sheetViews>
  <sheetFormatPr defaultRowHeight="12.75" customHeight="1"/>
  <cols>
    <col min="1" max="1" width="8" style="10" customWidth="1"/>
    <col min="2" max="2" width="17.140625" style="23" customWidth="1"/>
    <col min="3" max="3" width="10.28515625" style="23" customWidth="1"/>
    <col min="4" max="4" width="8.42578125" style="21" customWidth="1"/>
    <col min="5" max="5" width="11.28515625" style="18" customWidth="1"/>
    <col min="6" max="6" width="8.42578125" style="18" customWidth="1"/>
    <col min="7" max="8" width="12.5703125" style="18" customWidth="1"/>
    <col min="9" max="9" width="8.7109375" style="14" customWidth="1"/>
    <col min="10" max="10" width="9.7109375" style="12" customWidth="1"/>
    <col min="11" max="11" width="17.140625" style="11" customWidth="1"/>
    <col min="12" max="12" width="8" style="12" customWidth="1"/>
    <col min="13" max="13" width="13" style="11" customWidth="1"/>
    <col min="14" max="14" width="8.7109375" style="11" customWidth="1"/>
    <col min="15" max="15" width="9.28515625" style="13" customWidth="1"/>
    <col min="16" max="16" width="8.28515625" style="12" customWidth="1"/>
    <col min="17" max="17" width="10.5703125" style="14" customWidth="1"/>
    <col min="18" max="18" width="11" style="12" customWidth="1"/>
    <col min="19" max="20" width="8.140625" style="12" customWidth="1"/>
    <col min="21" max="21" width="10.5703125" style="12" customWidth="1"/>
    <col min="22" max="22" width="111.42578125" style="15" customWidth="1"/>
    <col min="23" max="23" width="14.7109375" style="13" customWidth="1"/>
    <col min="24" max="24" width="9.140625" style="13" customWidth="1"/>
    <col min="25" max="25" width="9.5703125" style="13" customWidth="1"/>
    <col min="26" max="26" width="11.140625" style="13" customWidth="1"/>
    <col min="27" max="27" width="8.28515625" style="11" customWidth="1"/>
    <col min="28" max="28" width="42" style="16" customWidth="1"/>
    <col min="29" max="29" width="11.140625" style="13" customWidth="1"/>
    <col min="30" max="30" width="12" style="13" customWidth="1"/>
    <col min="31" max="31" width="11.85546875" style="13" customWidth="1"/>
    <col min="32" max="32" width="43.28515625" style="16" customWidth="1"/>
    <col min="33" max="33" width="16.5703125" style="12" customWidth="1"/>
    <col min="34" max="34" width="77.5703125" style="16" customWidth="1"/>
    <col min="35" max="35" width="14.5703125" style="17" customWidth="1"/>
    <col min="36" max="36" width="11.5703125" style="17" customWidth="1"/>
    <col min="37" max="37" width="9.140625" style="17"/>
    <col min="38" max="38" width="13.5703125" style="17" customWidth="1"/>
    <col min="39" max="39" width="11" style="17" customWidth="1"/>
    <col min="40" max="40" width="18.5703125" style="17" hidden="1" customWidth="1"/>
    <col min="41" max="41" width="13" style="17" customWidth="1"/>
    <col min="42" max="42" width="15.5703125" style="17" customWidth="1"/>
    <col min="43" max="43" width="9.140625" style="17"/>
    <col min="44" max="44" width="14.140625" style="17" customWidth="1"/>
    <col min="45" max="45" width="17.28515625" style="17" customWidth="1"/>
    <col min="46" max="46" width="17" style="17" customWidth="1"/>
    <col min="47" max="47" width="18.140625" style="17" customWidth="1"/>
    <col min="48" max="48" width="19" style="17" customWidth="1"/>
    <col min="49" max="49" width="17.5703125" style="17" customWidth="1"/>
    <col min="50" max="16384" width="9.140625" style="18"/>
  </cols>
  <sheetData>
    <row r="1" spans="1:49" s="3" customFormat="1" ht="23.25">
      <c r="A1" s="1" t="s">
        <v>0</v>
      </c>
      <c r="B1" s="22" t="s">
        <v>1</v>
      </c>
      <c r="C1" s="22" t="s">
        <v>2</v>
      </c>
      <c r="D1" s="19" t="s">
        <v>3</v>
      </c>
      <c r="E1" s="3" t="s">
        <v>4</v>
      </c>
      <c r="F1" s="3" t="s">
        <v>5</v>
      </c>
      <c r="G1" s="3" t="s">
        <v>6</v>
      </c>
      <c r="H1" s="3" t="s">
        <v>7</v>
      </c>
      <c r="I1" s="3" t="s">
        <v>8</v>
      </c>
      <c r="J1" s="1" t="s">
        <v>9</v>
      </c>
      <c r="K1" s="2" t="s">
        <v>10</v>
      </c>
      <c r="L1" s="1" t="s">
        <v>11</v>
      </c>
      <c r="M1" s="2" t="s">
        <v>12</v>
      </c>
      <c r="N1" s="2" t="s">
        <v>13</v>
      </c>
      <c r="O1" s="1" t="s">
        <v>14</v>
      </c>
      <c r="P1" s="1" t="s">
        <v>15</v>
      </c>
      <c r="Q1" s="3" t="s">
        <v>16</v>
      </c>
      <c r="R1" s="1" t="s">
        <v>17</v>
      </c>
      <c r="S1" s="1" t="s">
        <v>18</v>
      </c>
      <c r="T1" s="1" t="s">
        <v>19</v>
      </c>
      <c r="U1" s="1" t="s">
        <v>20</v>
      </c>
      <c r="V1" s="4" t="s">
        <v>21</v>
      </c>
      <c r="W1" s="1" t="s">
        <v>22</v>
      </c>
      <c r="X1" s="1" t="s">
        <v>23</v>
      </c>
      <c r="Y1" s="1" t="s">
        <v>24</v>
      </c>
      <c r="Z1" s="1" t="s">
        <v>25</v>
      </c>
      <c r="AA1" s="2" t="s">
        <v>26</v>
      </c>
      <c r="AB1" s="5" t="s">
        <v>27</v>
      </c>
      <c r="AC1" s="1" t="s">
        <v>28</v>
      </c>
      <c r="AD1" s="1" t="s">
        <v>29</v>
      </c>
      <c r="AE1" s="1" t="s">
        <v>30</v>
      </c>
      <c r="AF1" s="6" t="s">
        <v>31</v>
      </c>
      <c r="AG1" s="1" t="s">
        <v>32</v>
      </c>
      <c r="AH1" s="5"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row>
    <row r="2" spans="1:49" s="9" customFormat="1">
      <c r="A2" s="1"/>
      <c r="B2" s="22" t="s">
        <v>49</v>
      </c>
      <c r="C2" s="22" t="s">
        <v>49</v>
      </c>
      <c r="D2" s="20" t="s">
        <v>50</v>
      </c>
      <c r="E2" s="3" t="s">
        <v>51</v>
      </c>
      <c r="F2" s="3" t="s">
        <v>51</v>
      </c>
      <c r="G2" s="3" t="s">
        <v>51</v>
      </c>
      <c r="H2" s="3" t="s">
        <v>51</v>
      </c>
      <c r="I2" s="3" t="s">
        <v>51</v>
      </c>
      <c r="J2" s="1" t="s">
        <v>51</v>
      </c>
      <c r="K2" s="2" t="s">
        <v>52</v>
      </c>
      <c r="L2" s="1" t="s">
        <v>51</v>
      </c>
      <c r="M2" s="2"/>
      <c r="N2" s="7" t="s">
        <v>53</v>
      </c>
      <c r="O2" s="8" t="s">
        <v>51</v>
      </c>
      <c r="P2" s="1" t="s">
        <v>51</v>
      </c>
      <c r="Q2" s="3"/>
      <c r="R2" s="1" t="s">
        <v>54</v>
      </c>
      <c r="S2" s="1" t="s">
        <v>51</v>
      </c>
      <c r="T2" s="1"/>
      <c r="U2" s="1" t="s">
        <v>51</v>
      </c>
      <c r="V2" s="4"/>
      <c r="W2" s="8" t="s">
        <v>55</v>
      </c>
      <c r="X2" s="1" t="s">
        <v>56</v>
      </c>
      <c r="Y2" s="8" t="s">
        <v>51</v>
      </c>
      <c r="Z2" s="8" t="s">
        <v>51</v>
      </c>
      <c r="AA2" s="2" t="s">
        <v>57</v>
      </c>
      <c r="AB2" s="5"/>
      <c r="AC2" s="8" t="s">
        <v>51</v>
      </c>
      <c r="AD2" s="8" t="s">
        <v>51</v>
      </c>
      <c r="AE2" s="8" t="s">
        <v>51</v>
      </c>
      <c r="AF2" s="5"/>
      <c r="AG2" s="1" t="s">
        <v>54</v>
      </c>
      <c r="AH2" s="5"/>
    </row>
    <row r="3" spans="1:49">
      <c r="A3" s="10" t="s">
        <v>58</v>
      </c>
      <c r="B3" s="23">
        <v>44264</v>
      </c>
      <c r="C3" s="23">
        <v>44265</v>
      </c>
      <c r="D3" s="21" t="s">
        <v>59</v>
      </c>
      <c r="E3" s="18">
        <v>0</v>
      </c>
      <c r="F3" s="18" t="s">
        <v>60</v>
      </c>
      <c r="G3" s="18" t="s">
        <v>60</v>
      </c>
      <c r="H3" s="18" t="s">
        <v>60</v>
      </c>
      <c r="I3" s="14">
        <f>IF(AND(E3 &gt; 0, AND(F3 &gt; 0, AND(G3 &gt; 0, H3 &gt; 0))),1,0)</f>
        <v>0</v>
      </c>
      <c r="J3" s="12">
        <v>1</v>
      </c>
      <c r="K3" s="11" t="s">
        <v>61</v>
      </c>
      <c r="L3" s="12" t="s">
        <v>61</v>
      </c>
      <c r="M3" s="11" t="s">
        <v>61</v>
      </c>
      <c r="N3" s="11" t="s">
        <v>61</v>
      </c>
      <c r="O3" s="13" t="s">
        <v>61</v>
      </c>
      <c r="P3" s="12" t="s">
        <v>61</v>
      </c>
      <c r="Q3" s="14" t="s">
        <v>61</v>
      </c>
      <c r="R3" s="12" t="s">
        <v>61</v>
      </c>
      <c r="S3" s="12" t="s">
        <v>61</v>
      </c>
      <c r="T3" s="12" t="s">
        <v>62</v>
      </c>
      <c r="U3" s="12" t="s">
        <v>61</v>
      </c>
      <c r="V3" s="15" t="s">
        <v>63</v>
      </c>
      <c r="W3" s="13" t="s">
        <v>61</v>
      </c>
      <c r="X3" s="13" t="s">
        <v>61</v>
      </c>
      <c r="Y3" s="13" t="s">
        <v>61</v>
      </c>
      <c r="Z3" s="13" t="s">
        <v>61</v>
      </c>
      <c r="AA3" s="11" t="s">
        <v>61</v>
      </c>
      <c r="AC3" s="13" t="s">
        <v>61</v>
      </c>
      <c r="AD3" s="13" t="s">
        <v>61</v>
      </c>
      <c r="AE3" s="13" t="s">
        <v>61</v>
      </c>
      <c r="AG3" s="12">
        <v>2</v>
      </c>
      <c r="AH3" s="16" t="s">
        <v>64</v>
      </c>
      <c r="AI3" s="17" t="s">
        <v>61</v>
      </c>
      <c r="AJ3" s="17" t="s">
        <v>61</v>
      </c>
      <c r="AK3" s="17" t="s">
        <v>61</v>
      </c>
      <c r="AL3" s="17" t="s">
        <v>61</v>
      </c>
      <c r="AM3" s="17" t="s">
        <v>61</v>
      </c>
      <c r="AN3" s="17" t="s">
        <v>61</v>
      </c>
      <c r="AO3" s="17" t="s">
        <v>61</v>
      </c>
      <c r="AP3" s="17" t="s">
        <v>61</v>
      </c>
      <c r="AQ3" s="17" t="s">
        <v>61</v>
      </c>
      <c r="AR3" s="17" t="s">
        <v>61</v>
      </c>
      <c r="AS3" s="17" t="s">
        <v>61</v>
      </c>
      <c r="AT3" s="17" t="s">
        <v>61</v>
      </c>
      <c r="AU3" s="17" t="s">
        <v>61</v>
      </c>
      <c r="AW3" s="17" t="s">
        <v>65</v>
      </c>
    </row>
    <row r="4" spans="1:49">
      <c r="A4" s="10" t="s">
        <v>66</v>
      </c>
      <c r="B4" s="23">
        <v>44270</v>
      </c>
      <c r="C4" s="23">
        <v>44271</v>
      </c>
      <c r="D4" s="21" t="s">
        <v>59</v>
      </c>
      <c r="E4" s="18">
        <v>0</v>
      </c>
      <c r="F4" s="18" t="s">
        <v>60</v>
      </c>
      <c r="G4" s="18" t="s">
        <v>60</v>
      </c>
      <c r="H4" s="18" t="s">
        <v>60</v>
      </c>
      <c r="I4" s="14">
        <f t="shared" ref="I4:I67" si="0">IF(AND(E4 &gt; 0, AND(F4 &gt; 0, AND(G4 &gt; 0, H4 &gt; 0))),1,0)</f>
        <v>0</v>
      </c>
      <c r="J4" s="12">
        <v>1</v>
      </c>
      <c r="K4" s="11" t="s">
        <v>61</v>
      </c>
      <c r="L4" s="12" t="s">
        <v>61</v>
      </c>
      <c r="M4" s="11" t="s">
        <v>61</v>
      </c>
      <c r="N4" s="11" t="s">
        <v>61</v>
      </c>
      <c r="O4" s="13" t="s">
        <v>61</v>
      </c>
      <c r="P4" s="12" t="s">
        <v>61</v>
      </c>
      <c r="Q4" s="14" t="s">
        <v>61</v>
      </c>
      <c r="R4" s="12" t="s">
        <v>61</v>
      </c>
      <c r="S4" s="12" t="s">
        <v>61</v>
      </c>
      <c r="T4" s="12" t="s">
        <v>62</v>
      </c>
      <c r="U4" s="12" t="s">
        <v>61</v>
      </c>
      <c r="V4" s="15" t="s">
        <v>67</v>
      </c>
      <c r="W4" s="13" t="s">
        <v>61</v>
      </c>
      <c r="X4" s="13" t="s">
        <v>61</v>
      </c>
      <c r="Y4" s="13" t="s">
        <v>61</v>
      </c>
      <c r="Z4" s="13" t="s">
        <v>61</v>
      </c>
      <c r="AA4" s="11" t="s">
        <v>61</v>
      </c>
      <c r="AC4" s="13" t="s">
        <v>61</v>
      </c>
      <c r="AD4" s="13" t="s">
        <v>61</v>
      </c>
      <c r="AE4" s="13" t="s">
        <v>61</v>
      </c>
      <c r="AG4" s="12">
        <v>2</v>
      </c>
      <c r="AH4" s="16" t="s">
        <v>68</v>
      </c>
      <c r="AI4" s="17" t="s">
        <v>61</v>
      </c>
      <c r="AJ4" s="17" t="s">
        <v>61</v>
      </c>
      <c r="AK4" s="17" t="s">
        <v>61</v>
      </c>
      <c r="AL4" s="17" t="s">
        <v>61</v>
      </c>
      <c r="AM4" s="17" t="s">
        <v>61</v>
      </c>
      <c r="AN4" s="17" t="s">
        <v>61</v>
      </c>
      <c r="AO4" s="17" t="s">
        <v>61</v>
      </c>
      <c r="AP4" s="17" t="s">
        <v>61</v>
      </c>
      <c r="AQ4" s="17" t="s">
        <v>61</v>
      </c>
      <c r="AR4" s="17" t="s">
        <v>61</v>
      </c>
      <c r="AS4" s="17" t="s">
        <v>61</v>
      </c>
      <c r="AT4" s="17" t="s">
        <v>61</v>
      </c>
      <c r="AU4" s="17" t="s">
        <v>61</v>
      </c>
      <c r="AW4" s="17" t="s">
        <v>69</v>
      </c>
    </row>
    <row r="5" spans="1:49">
      <c r="A5" s="10" t="s">
        <v>70</v>
      </c>
      <c r="B5" s="23">
        <v>44273</v>
      </c>
      <c r="C5" s="23">
        <v>44274</v>
      </c>
      <c r="D5" s="21" t="s">
        <v>59</v>
      </c>
      <c r="E5" s="18">
        <v>0</v>
      </c>
      <c r="F5" s="18" t="s">
        <v>60</v>
      </c>
      <c r="G5" s="18" t="s">
        <v>60</v>
      </c>
      <c r="H5" s="18" t="s">
        <v>60</v>
      </c>
      <c r="I5" s="14">
        <f t="shared" si="0"/>
        <v>0</v>
      </c>
      <c r="J5" s="12">
        <v>1</v>
      </c>
      <c r="K5" s="11" t="s">
        <v>61</v>
      </c>
      <c r="L5" s="12" t="s">
        <v>61</v>
      </c>
      <c r="M5" s="11" t="s">
        <v>61</v>
      </c>
      <c r="N5" s="11" t="s">
        <v>61</v>
      </c>
      <c r="O5" s="13" t="s">
        <v>61</v>
      </c>
      <c r="P5" s="12" t="s">
        <v>61</v>
      </c>
      <c r="Q5" s="14" t="s">
        <v>61</v>
      </c>
      <c r="R5" s="12" t="s">
        <v>61</v>
      </c>
      <c r="S5" s="12" t="s">
        <v>61</v>
      </c>
      <c r="T5" s="12" t="s">
        <v>62</v>
      </c>
      <c r="U5" s="12" t="s">
        <v>61</v>
      </c>
      <c r="V5" s="15" t="s">
        <v>71</v>
      </c>
      <c r="W5" s="13" t="s">
        <v>61</v>
      </c>
      <c r="X5" s="13" t="s">
        <v>61</v>
      </c>
      <c r="Y5" s="13" t="s">
        <v>61</v>
      </c>
      <c r="Z5" s="13" t="s">
        <v>61</v>
      </c>
      <c r="AA5" s="11" t="s">
        <v>61</v>
      </c>
      <c r="AC5" s="13" t="s">
        <v>61</v>
      </c>
      <c r="AD5" s="13" t="s">
        <v>61</v>
      </c>
      <c r="AE5" s="13" t="s">
        <v>61</v>
      </c>
      <c r="AG5" s="12">
        <v>2</v>
      </c>
      <c r="AI5" s="17" t="s">
        <v>61</v>
      </c>
      <c r="AJ5" s="17" t="s">
        <v>61</v>
      </c>
      <c r="AK5" s="17" t="s">
        <v>61</v>
      </c>
      <c r="AL5" s="17" t="s">
        <v>61</v>
      </c>
      <c r="AM5" s="17" t="s">
        <v>61</v>
      </c>
      <c r="AN5" s="17" t="s">
        <v>61</v>
      </c>
      <c r="AO5" s="17" t="s">
        <v>61</v>
      </c>
      <c r="AP5" s="17" t="s">
        <v>61</v>
      </c>
      <c r="AQ5" s="17" t="s">
        <v>61</v>
      </c>
      <c r="AR5" s="17" t="s">
        <v>61</v>
      </c>
      <c r="AS5" s="17" t="s">
        <v>61</v>
      </c>
      <c r="AT5" s="17" t="s">
        <v>61</v>
      </c>
      <c r="AU5" s="17" t="s">
        <v>61</v>
      </c>
      <c r="AW5" s="17" t="s">
        <v>65</v>
      </c>
    </row>
    <row r="6" spans="1:49">
      <c r="A6" s="10" t="s">
        <v>72</v>
      </c>
      <c r="B6" s="23">
        <v>44277</v>
      </c>
      <c r="C6" s="23">
        <v>44278</v>
      </c>
      <c r="D6" s="21" t="s">
        <v>59</v>
      </c>
      <c r="E6" s="18">
        <v>0</v>
      </c>
      <c r="F6" s="18" t="s">
        <v>60</v>
      </c>
      <c r="G6" s="18" t="s">
        <v>60</v>
      </c>
      <c r="H6" s="18" t="s">
        <v>60</v>
      </c>
      <c r="I6" s="14">
        <f t="shared" si="0"/>
        <v>0</v>
      </c>
      <c r="J6" s="12">
        <v>1</v>
      </c>
      <c r="K6" s="11" t="s">
        <v>61</v>
      </c>
      <c r="L6" s="12" t="s">
        <v>61</v>
      </c>
      <c r="M6" s="11" t="s">
        <v>61</v>
      </c>
      <c r="N6" s="11" t="s">
        <v>61</v>
      </c>
      <c r="O6" s="13" t="s">
        <v>61</v>
      </c>
      <c r="P6" s="12" t="s">
        <v>61</v>
      </c>
      <c r="Q6" s="14" t="s">
        <v>61</v>
      </c>
      <c r="R6" s="12" t="s">
        <v>61</v>
      </c>
      <c r="S6" s="12" t="s">
        <v>61</v>
      </c>
      <c r="T6" s="12" t="s">
        <v>62</v>
      </c>
      <c r="U6" s="12" t="s">
        <v>61</v>
      </c>
      <c r="V6" s="15" t="s">
        <v>71</v>
      </c>
      <c r="W6" s="13" t="s">
        <v>61</v>
      </c>
      <c r="X6" s="13" t="s">
        <v>61</v>
      </c>
      <c r="Y6" s="13" t="s">
        <v>61</v>
      </c>
      <c r="Z6" s="13" t="s">
        <v>61</v>
      </c>
      <c r="AA6" s="11" t="s">
        <v>61</v>
      </c>
      <c r="AC6" s="13" t="s">
        <v>61</v>
      </c>
      <c r="AD6" s="13" t="s">
        <v>61</v>
      </c>
      <c r="AE6" s="13" t="s">
        <v>61</v>
      </c>
      <c r="AG6" s="12">
        <v>2</v>
      </c>
      <c r="AI6" s="17" t="s">
        <v>61</v>
      </c>
      <c r="AJ6" s="17" t="s">
        <v>61</v>
      </c>
      <c r="AK6" s="17" t="s">
        <v>61</v>
      </c>
      <c r="AL6" s="17" t="s">
        <v>61</v>
      </c>
      <c r="AM6" s="17" t="s">
        <v>61</v>
      </c>
      <c r="AN6" s="17" t="s">
        <v>61</v>
      </c>
      <c r="AO6" s="17" t="s">
        <v>61</v>
      </c>
      <c r="AP6" s="17" t="s">
        <v>61</v>
      </c>
      <c r="AQ6" s="17" t="s">
        <v>61</v>
      </c>
      <c r="AR6" s="17" t="s">
        <v>61</v>
      </c>
      <c r="AS6" s="17" t="s">
        <v>61</v>
      </c>
      <c r="AT6" s="17" t="s">
        <v>61</v>
      </c>
      <c r="AU6" s="17" t="s">
        <v>61</v>
      </c>
      <c r="AW6" s="17" t="s">
        <v>65</v>
      </c>
    </row>
    <row r="7" spans="1:49">
      <c r="A7" s="10" t="s">
        <v>73</v>
      </c>
      <c r="B7" s="23">
        <v>44280</v>
      </c>
      <c r="C7" s="23">
        <v>44281</v>
      </c>
      <c r="D7" s="21" t="s">
        <v>59</v>
      </c>
      <c r="E7" s="18">
        <v>0</v>
      </c>
      <c r="F7" s="18" t="s">
        <v>60</v>
      </c>
      <c r="G7" s="18" t="s">
        <v>60</v>
      </c>
      <c r="H7" s="18" t="s">
        <v>60</v>
      </c>
      <c r="I7" s="14">
        <f t="shared" si="0"/>
        <v>0</v>
      </c>
      <c r="J7" s="12">
        <v>1</v>
      </c>
      <c r="K7" s="11" t="s">
        <v>61</v>
      </c>
      <c r="L7" s="12" t="s">
        <v>61</v>
      </c>
      <c r="M7" s="11" t="s">
        <v>61</v>
      </c>
      <c r="N7" s="11" t="s">
        <v>61</v>
      </c>
      <c r="O7" s="13" t="s">
        <v>61</v>
      </c>
      <c r="P7" s="12" t="s">
        <v>61</v>
      </c>
      <c r="Q7" s="14" t="s">
        <v>61</v>
      </c>
      <c r="R7" s="12" t="s">
        <v>61</v>
      </c>
      <c r="S7" s="12" t="s">
        <v>61</v>
      </c>
      <c r="T7" s="12" t="s">
        <v>62</v>
      </c>
      <c r="U7" s="12" t="s">
        <v>61</v>
      </c>
      <c r="V7" s="15" t="s">
        <v>71</v>
      </c>
      <c r="W7" s="13" t="s">
        <v>61</v>
      </c>
      <c r="X7" s="13" t="s">
        <v>61</v>
      </c>
      <c r="Y7" s="13" t="s">
        <v>61</v>
      </c>
      <c r="Z7" s="13" t="s">
        <v>61</v>
      </c>
      <c r="AA7" s="11" t="s">
        <v>61</v>
      </c>
      <c r="AC7" s="13" t="s">
        <v>61</v>
      </c>
      <c r="AD7" s="13" t="s">
        <v>61</v>
      </c>
      <c r="AE7" s="13" t="s">
        <v>61</v>
      </c>
      <c r="AG7" s="12">
        <v>2</v>
      </c>
      <c r="AI7" s="17" t="s">
        <v>61</v>
      </c>
      <c r="AJ7" s="17" t="s">
        <v>61</v>
      </c>
      <c r="AK7" s="17" t="s">
        <v>61</v>
      </c>
      <c r="AL7" s="17" t="s">
        <v>61</v>
      </c>
      <c r="AM7" s="17" t="s">
        <v>61</v>
      </c>
      <c r="AN7" s="17" t="s">
        <v>61</v>
      </c>
      <c r="AO7" s="17" t="s">
        <v>61</v>
      </c>
      <c r="AP7" s="17" t="s">
        <v>61</v>
      </c>
      <c r="AQ7" s="17" t="s">
        <v>61</v>
      </c>
      <c r="AR7" s="17" t="s">
        <v>61</v>
      </c>
      <c r="AS7" s="17" t="s">
        <v>61</v>
      </c>
      <c r="AT7" s="17" t="s">
        <v>61</v>
      </c>
      <c r="AU7" s="17" t="s">
        <v>61</v>
      </c>
      <c r="AW7" s="17" t="s">
        <v>65</v>
      </c>
    </row>
    <row r="8" spans="1:49">
      <c r="A8" s="10">
        <v>1</v>
      </c>
      <c r="B8" s="23">
        <v>44348</v>
      </c>
      <c r="C8" s="23">
        <v>44351</v>
      </c>
      <c r="D8" s="21">
        <v>43.5</v>
      </c>
      <c r="E8" s="18">
        <v>0</v>
      </c>
      <c r="F8" s="18" t="s">
        <v>60</v>
      </c>
      <c r="G8" s="18" t="s">
        <v>60</v>
      </c>
      <c r="H8" s="18" t="s">
        <v>60</v>
      </c>
      <c r="I8" s="14">
        <f t="shared" si="0"/>
        <v>0</v>
      </c>
      <c r="J8" s="12">
        <v>1</v>
      </c>
      <c r="K8" s="11">
        <v>0</v>
      </c>
      <c r="L8" s="12">
        <v>0</v>
      </c>
      <c r="M8" s="11" t="s">
        <v>61</v>
      </c>
      <c r="N8" s="11">
        <v>0</v>
      </c>
      <c r="O8" s="13" t="s">
        <v>61</v>
      </c>
      <c r="P8" s="12">
        <v>1</v>
      </c>
      <c r="Q8" s="14" t="s">
        <v>74</v>
      </c>
      <c r="R8" s="12">
        <v>2</v>
      </c>
      <c r="S8" s="12">
        <v>0</v>
      </c>
      <c r="T8" s="12" t="s">
        <v>62</v>
      </c>
      <c r="U8" s="12">
        <v>0</v>
      </c>
      <c r="V8" s="15" t="s">
        <v>75</v>
      </c>
      <c r="W8" s="13" t="s">
        <v>61</v>
      </c>
      <c r="X8" s="13">
        <v>6</v>
      </c>
      <c r="Y8" s="13">
        <v>1</v>
      </c>
      <c r="Z8" s="13">
        <v>0</v>
      </c>
      <c r="AA8" s="11">
        <v>24</v>
      </c>
      <c r="AB8" s="16" t="s">
        <v>76</v>
      </c>
      <c r="AC8" s="13" t="s">
        <v>61</v>
      </c>
      <c r="AD8" s="24">
        <v>1</v>
      </c>
      <c r="AE8" s="13" t="s">
        <v>61</v>
      </c>
      <c r="AF8" s="25" t="s">
        <v>77</v>
      </c>
      <c r="AG8" s="12">
        <v>0</v>
      </c>
      <c r="AI8" s="17" t="s">
        <v>69</v>
      </c>
      <c r="AJ8" s="17" t="s">
        <v>69</v>
      </c>
      <c r="AK8" s="17" t="s">
        <v>69</v>
      </c>
      <c r="AL8" s="17" t="s">
        <v>69</v>
      </c>
      <c r="AM8" s="17" t="s">
        <v>69</v>
      </c>
      <c r="AN8" s="17" t="s">
        <v>69</v>
      </c>
      <c r="AO8" s="17" t="s">
        <v>65</v>
      </c>
      <c r="AP8" s="17" t="s">
        <v>69</v>
      </c>
      <c r="AQ8" s="17" t="s">
        <v>69</v>
      </c>
      <c r="AR8" s="17" t="s">
        <v>61</v>
      </c>
      <c r="AS8" s="17" t="s">
        <v>61</v>
      </c>
      <c r="AT8" s="17" t="s">
        <v>65</v>
      </c>
      <c r="AU8" s="17" t="s">
        <v>65</v>
      </c>
      <c r="AV8" s="17" t="s">
        <v>78</v>
      </c>
      <c r="AW8" s="17" t="s">
        <v>65</v>
      </c>
    </row>
    <row r="9" spans="1:49" ht="24">
      <c r="A9" s="10">
        <v>2</v>
      </c>
      <c r="B9" s="23">
        <v>44355</v>
      </c>
      <c r="C9" s="23">
        <v>44356</v>
      </c>
      <c r="D9" s="21">
        <v>44.75</v>
      </c>
      <c r="E9" s="18">
        <v>0</v>
      </c>
      <c r="F9" s="18" t="s">
        <v>60</v>
      </c>
      <c r="G9" s="18" t="s">
        <v>60</v>
      </c>
      <c r="H9" s="18" t="s">
        <v>60</v>
      </c>
      <c r="I9" s="14">
        <f t="shared" si="0"/>
        <v>0</v>
      </c>
      <c r="J9" s="12">
        <v>1</v>
      </c>
      <c r="K9" s="11">
        <v>100</v>
      </c>
      <c r="L9" s="12">
        <v>0</v>
      </c>
      <c r="M9" s="11" t="s">
        <v>79</v>
      </c>
      <c r="N9" s="11">
        <v>0</v>
      </c>
      <c r="O9" s="13" t="s">
        <v>61</v>
      </c>
      <c r="P9" s="12">
        <v>1</v>
      </c>
      <c r="Q9" s="14" t="s">
        <v>74</v>
      </c>
      <c r="R9" s="12">
        <v>2</v>
      </c>
      <c r="S9" s="12">
        <v>0</v>
      </c>
      <c r="T9" s="12" t="s">
        <v>59</v>
      </c>
      <c r="U9" s="12">
        <v>0</v>
      </c>
      <c r="V9" s="15" t="s">
        <v>80</v>
      </c>
      <c r="W9" s="13" t="s">
        <v>61</v>
      </c>
      <c r="X9" s="13">
        <v>4</v>
      </c>
      <c r="Y9" s="13">
        <v>1</v>
      </c>
      <c r="Z9" s="13">
        <v>1</v>
      </c>
      <c r="AA9" s="11">
        <v>16</v>
      </c>
      <c r="AC9" s="13" t="s">
        <v>61</v>
      </c>
      <c r="AD9" s="13">
        <v>0</v>
      </c>
      <c r="AE9" s="13" t="s">
        <v>61</v>
      </c>
      <c r="AG9" s="12">
        <v>0</v>
      </c>
      <c r="AI9" s="17" t="s">
        <v>69</v>
      </c>
      <c r="AJ9" s="17" t="s">
        <v>69</v>
      </c>
      <c r="AK9" s="17" t="s">
        <v>69</v>
      </c>
      <c r="AL9" s="17" t="s">
        <v>69</v>
      </c>
      <c r="AM9" s="17" t="s">
        <v>69</v>
      </c>
      <c r="AN9" s="17" t="s">
        <v>69</v>
      </c>
      <c r="AO9" s="17" t="s">
        <v>65</v>
      </c>
      <c r="AP9" s="17" t="s">
        <v>69</v>
      </c>
      <c r="AQ9" s="17" t="s">
        <v>69</v>
      </c>
      <c r="AR9" s="17" t="s">
        <v>61</v>
      </c>
      <c r="AS9" s="17" t="s">
        <v>61</v>
      </c>
      <c r="AT9" s="17" t="s">
        <v>65</v>
      </c>
      <c r="AU9" s="17" t="s">
        <v>65</v>
      </c>
      <c r="AV9" s="17" t="s">
        <v>78</v>
      </c>
      <c r="AW9" s="17" t="s">
        <v>65</v>
      </c>
    </row>
    <row r="10" spans="1:49" ht="14.25">
      <c r="A10" s="10">
        <v>3</v>
      </c>
      <c r="B10" s="23">
        <v>44384</v>
      </c>
      <c r="C10" s="23">
        <v>44386</v>
      </c>
      <c r="D10" s="21">
        <v>43.3</v>
      </c>
      <c r="E10" s="18">
        <v>0</v>
      </c>
      <c r="F10" s="18" t="s">
        <v>60</v>
      </c>
      <c r="G10" s="18" t="s">
        <v>60</v>
      </c>
      <c r="H10" s="18" t="s">
        <v>60</v>
      </c>
      <c r="I10" s="14">
        <f t="shared" si="0"/>
        <v>0</v>
      </c>
      <c r="J10" s="12">
        <v>1</v>
      </c>
      <c r="K10" s="11">
        <v>0</v>
      </c>
      <c r="L10" s="12">
        <v>0</v>
      </c>
      <c r="M10" s="11" t="s">
        <v>61</v>
      </c>
      <c r="N10" s="11">
        <v>0</v>
      </c>
      <c r="O10" s="13" t="s">
        <v>61</v>
      </c>
      <c r="P10" s="12">
        <v>1</v>
      </c>
      <c r="Q10" s="14" t="s">
        <v>74</v>
      </c>
      <c r="R10" s="12">
        <v>2</v>
      </c>
      <c r="S10" s="12">
        <v>0</v>
      </c>
      <c r="T10" s="12" t="s">
        <v>59</v>
      </c>
      <c r="U10" s="12">
        <v>0</v>
      </c>
      <c r="V10" s="15" t="s">
        <v>81</v>
      </c>
      <c r="W10" s="13" t="s">
        <v>61</v>
      </c>
      <c r="X10" s="13">
        <v>6</v>
      </c>
      <c r="Y10" s="13">
        <v>1</v>
      </c>
      <c r="Z10" s="13">
        <v>1</v>
      </c>
      <c r="AA10" s="11">
        <v>34.5</v>
      </c>
      <c r="AC10" s="13" t="s">
        <v>61</v>
      </c>
      <c r="AD10" s="13">
        <v>1</v>
      </c>
      <c r="AE10" s="13" t="s">
        <v>61</v>
      </c>
      <c r="AF10" s="26" t="s">
        <v>82</v>
      </c>
      <c r="AG10" s="12">
        <v>1</v>
      </c>
      <c r="AH10" s="26" t="s">
        <v>83</v>
      </c>
      <c r="AI10" s="17" t="s">
        <v>69</v>
      </c>
      <c r="AJ10" s="17" t="s">
        <v>69</v>
      </c>
      <c r="AK10" s="17" t="s">
        <v>69</v>
      </c>
      <c r="AL10" s="17" t="s">
        <v>69</v>
      </c>
      <c r="AM10" s="17" t="s">
        <v>69</v>
      </c>
      <c r="AN10" s="17" t="s">
        <v>69</v>
      </c>
      <c r="AO10" s="17" t="s">
        <v>65</v>
      </c>
      <c r="AP10" s="17" t="s">
        <v>69</v>
      </c>
      <c r="AQ10" s="17" t="s">
        <v>69</v>
      </c>
      <c r="AR10" s="17" t="s">
        <v>61</v>
      </c>
      <c r="AS10" s="17" t="s">
        <v>61</v>
      </c>
      <c r="AT10" s="17" t="s">
        <v>65</v>
      </c>
      <c r="AU10" s="17" t="s">
        <v>65</v>
      </c>
      <c r="AV10" s="17" t="s">
        <v>69</v>
      </c>
      <c r="AW10" s="17" t="s">
        <v>69</v>
      </c>
    </row>
    <row r="11" spans="1:49" ht="24">
      <c r="A11" s="10">
        <v>4</v>
      </c>
      <c r="B11" s="23">
        <v>44390</v>
      </c>
      <c r="C11" s="23">
        <v>44391</v>
      </c>
      <c r="D11" s="21">
        <v>42</v>
      </c>
      <c r="E11" s="18">
        <v>0</v>
      </c>
      <c r="F11" s="18" t="s">
        <v>60</v>
      </c>
      <c r="G11" s="18" t="s">
        <v>60</v>
      </c>
      <c r="H11" s="18" t="s">
        <v>60</v>
      </c>
      <c r="I11" s="14">
        <f t="shared" si="0"/>
        <v>0</v>
      </c>
      <c r="J11" s="12">
        <v>1</v>
      </c>
      <c r="K11" s="11">
        <v>0</v>
      </c>
      <c r="L11" s="12">
        <v>0</v>
      </c>
      <c r="M11" s="11" t="s">
        <v>61</v>
      </c>
      <c r="N11" s="11">
        <v>0</v>
      </c>
      <c r="O11" s="13" t="s">
        <v>61</v>
      </c>
      <c r="P11" s="12">
        <v>1</v>
      </c>
      <c r="Q11" s="14" t="s">
        <v>74</v>
      </c>
      <c r="R11" s="12">
        <v>2</v>
      </c>
      <c r="S11" s="12">
        <v>0</v>
      </c>
      <c r="T11" s="12" t="s">
        <v>59</v>
      </c>
      <c r="U11" s="12">
        <v>0</v>
      </c>
      <c r="V11" s="15" t="s">
        <v>84</v>
      </c>
      <c r="W11" s="13" t="s">
        <v>61</v>
      </c>
      <c r="X11" s="13">
        <v>5</v>
      </c>
      <c r="Y11" s="13">
        <v>1</v>
      </c>
      <c r="Z11" s="13">
        <v>1</v>
      </c>
      <c r="AA11" s="11">
        <v>18.5</v>
      </c>
      <c r="AC11" s="13">
        <v>0</v>
      </c>
      <c r="AD11" s="13" t="s">
        <v>61</v>
      </c>
      <c r="AE11" s="13" t="s">
        <v>61</v>
      </c>
      <c r="AG11" s="12">
        <v>1</v>
      </c>
      <c r="AH11" s="27" t="s">
        <v>85</v>
      </c>
      <c r="AI11" s="17" t="s">
        <v>69</v>
      </c>
      <c r="AJ11" s="17" t="s">
        <v>69</v>
      </c>
      <c r="AK11" s="17" t="s">
        <v>69</v>
      </c>
      <c r="AL11" s="17" t="s">
        <v>69</v>
      </c>
      <c r="AM11" s="17" t="s">
        <v>69</v>
      </c>
      <c r="AN11" s="17" t="s">
        <v>69</v>
      </c>
      <c r="AO11" s="17" t="s">
        <v>65</v>
      </c>
      <c r="AP11" s="17" t="s">
        <v>69</v>
      </c>
      <c r="AQ11" s="17" t="s">
        <v>69</v>
      </c>
      <c r="AR11" s="17" t="s">
        <v>61</v>
      </c>
      <c r="AS11" s="17" t="s">
        <v>61</v>
      </c>
      <c r="AT11" s="17" t="s">
        <v>65</v>
      </c>
      <c r="AU11" s="17" t="s">
        <v>65</v>
      </c>
      <c r="AV11" s="17" t="s">
        <v>69</v>
      </c>
      <c r="AW11" s="17" t="s">
        <v>69</v>
      </c>
    </row>
    <row r="12" spans="1:49" ht="36">
      <c r="A12" s="10">
        <v>5</v>
      </c>
      <c r="B12" s="23">
        <v>44425</v>
      </c>
      <c r="C12" s="23">
        <v>44427</v>
      </c>
      <c r="D12" s="21">
        <v>40</v>
      </c>
      <c r="E12" s="18">
        <v>0</v>
      </c>
      <c r="F12" s="18" t="s">
        <v>60</v>
      </c>
      <c r="G12" s="18" t="s">
        <v>60</v>
      </c>
      <c r="H12" s="18" t="s">
        <v>60</v>
      </c>
      <c r="I12" s="14">
        <f t="shared" si="0"/>
        <v>0</v>
      </c>
      <c r="J12" s="12">
        <v>1</v>
      </c>
      <c r="K12" s="11">
        <v>100</v>
      </c>
      <c r="L12" s="12">
        <v>0</v>
      </c>
      <c r="M12" s="11" t="s">
        <v>79</v>
      </c>
      <c r="N12" s="11">
        <v>0</v>
      </c>
      <c r="O12" s="13" t="s">
        <v>61</v>
      </c>
      <c r="P12" s="12">
        <v>1</v>
      </c>
      <c r="Q12" s="14" t="s">
        <v>74</v>
      </c>
      <c r="R12" s="12">
        <v>2</v>
      </c>
      <c r="S12" s="12">
        <v>0</v>
      </c>
      <c r="T12" s="12" t="s">
        <v>59</v>
      </c>
      <c r="U12" s="12">
        <v>0</v>
      </c>
      <c r="V12" s="28" t="s">
        <v>86</v>
      </c>
      <c r="W12" s="13" t="s">
        <v>61</v>
      </c>
      <c r="X12" s="13">
        <v>6</v>
      </c>
      <c r="Y12" s="13">
        <v>1</v>
      </c>
      <c r="Z12" s="13">
        <v>1</v>
      </c>
      <c r="AA12" s="11">
        <v>38</v>
      </c>
      <c r="AB12" s="16" t="s">
        <v>87</v>
      </c>
      <c r="AC12" s="13">
        <v>1</v>
      </c>
      <c r="AD12" s="13">
        <v>1</v>
      </c>
      <c r="AE12" s="13">
        <v>0</v>
      </c>
      <c r="AG12" s="12">
        <v>1</v>
      </c>
      <c r="AH12" s="27" t="s">
        <v>88</v>
      </c>
      <c r="AI12" s="17" t="s">
        <v>69</v>
      </c>
      <c r="AJ12" s="17" t="s">
        <v>69</v>
      </c>
      <c r="AK12" s="17" t="s">
        <v>69</v>
      </c>
      <c r="AL12" s="17" t="s">
        <v>69</v>
      </c>
      <c r="AM12" s="17" t="s">
        <v>69</v>
      </c>
      <c r="AN12" s="17" t="s">
        <v>69</v>
      </c>
      <c r="AO12" s="17" t="s">
        <v>65</v>
      </c>
      <c r="AP12" s="17" t="s">
        <v>69</v>
      </c>
      <c r="AQ12" s="17" t="s">
        <v>69</v>
      </c>
      <c r="AR12" s="17" t="s">
        <v>61</v>
      </c>
      <c r="AS12" s="17" t="s">
        <v>61</v>
      </c>
      <c r="AT12" s="17" t="s">
        <v>65</v>
      </c>
      <c r="AU12" s="17" t="s">
        <v>65</v>
      </c>
      <c r="AV12" s="17" t="s">
        <v>69</v>
      </c>
      <c r="AW12" s="17" t="s">
        <v>65</v>
      </c>
    </row>
    <row r="13" spans="1:49">
      <c r="A13" s="10">
        <v>6</v>
      </c>
      <c r="B13" s="23">
        <v>44439</v>
      </c>
      <c r="C13" s="23">
        <v>44441</v>
      </c>
      <c r="D13" s="21">
        <v>41.8</v>
      </c>
      <c r="E13" s="18">
        <v>1</v>
      </c>
      <c r="F13" s="18">
        <v>1</v>
      </c>
      <c r="G13" s="18">
        <v>0</v>
      </c>
      <c r="H13" s="18" t="s">
        <v>60</v>
      </c>
      <c r="I13" s="14">
        <f t="shared" si="0"/>
        <v>0</v>
      </c>
      <c r="J13" s="12">
        <v>0</v>
      </c>
      <c r="K13" s="11">
        <v>0</v>
      </c>
      <c r="L13" s="12">
        <v>0</v>
      </c>
      <c r="M13" s="11" t="s">
        <v>61</v>
      </c>
      <c r="N13" s="11">
        <v>0</v>
      </c>
      <c r="O13" s="13" t="s">
        <v>61</v>
      </c>
      <c r="P13" s="12">
        <v>1</v>
      </c>
      <c r="Q13" s="14" t="s">
        <v>74</v>
      </c>
      <c r="R13" s="12">
        <v>2</v>
      </c>
      <c r="S13" s="12">
        <v>0</v>
      </c>
      <c r="T13" s="12" t="s">
        <v>59</v>
      </c>
      <c r="U13" s="12">
        <v>1</v>
      </c>
      <c r="V13" s="15" t="s">
        <v>89</v>
      </c>
      <c r="W13" s="13">
        <v>500</v>
      </c>
      <c r="X13" s="13">
        <v>7</v>
      </c>
      <c r="Y13" s="13">
        <v>0</v>
      </c>
      <c r="Z13" s="13">
        <v>0</v>
      </c>
      <c r="AA13" s="11" t="s">
        <v>61</v>
      </c>
      <c r="AC13" s="13">
        <v>1</v>
      </c>
      <c r="AD13" s="13">
        <v>1</v>
      </c>
      <c r="AE13" s="13">
        <v>1</v>
      </c>
      <c r="AG13" s="12">
        <v>1</v>
      </c>
      <c r="AI13" s="17" t="s">
        <v>69</v>
      </c>
      <c r="AJ13" s="17" t="s">
        <v>69</v>
      </c>
      <c r="AK13" s="17" t="s">
        <v>69</v>
      </c>
      <c r="AL13" s="17" t="s">
        <v>69</v>
      </c>
      <c r="AM13" s="17" t="s">
        <v>69</v>
      </c>
      <c r="AN13" s="17" t="s">
        <v>69</v>
      </c>
      <c r="AO13" s="17" t="s">
        <v>65</v>
      </c>
      <c r="AP13" s="17" t="s">
        <v>69</v>
      </c>
      <c r="AQ13" s="17" t="s">
        <v>69</v>
      </c>
      <c r="AR13" s="17" t="s">
        <v>61</v>
      </c>
      <c r="AS13" s="17" t="s">
        <v>69</v>
      </c>
      <c r="AT13" s="17" t="s">
        <v>65</v>
      </c>
      <c r="AU13" s="17" t="s">
        <v>65</v>
      </c>
      <c r="AV13" s="17" t="s">
        <v>69</v>
      </c>
      <c r="AW13" s="17" t="s">
        <v>69</v>
      </c>
    </row>
    <row r="14" spans="1:49">
      <c r="A14" s="10">
        <v>7</v>
      </c>
      <c r="B14" s="23">
        <v>44460</v>
      </c>
      <c r="C14" s="23">
        <v>44462</v>
      </c>
      <c r="D14" s="21">
        <v>40.25</v>
      </c>
      <c r="E14" s="18">
        <v>1</v>
      </c>
      <c r="F14" s="18">
        <v>1</v>
      </c>
      <c r="G14" s="18">
        <v>1</v>
      </c>
      <c r="H14" s="18" t="s">
        <v>60</v>
      </c>
      <c r="I14" s="14">
        <f t="shared" si="0"/>
        <v>1</v>
      </c>
      <c r="J14" s="12">
        <v>0</v>
      </c>
      <c r="K14" s="11">
        <v>0</v>
      </c>
      <c r="L14" s="12">
        <v>0</v>
      </c>
      <c r="M14" s="11" t="s">
        <v>61</v>
      </c>
      <c r="N14" s="11">
        <v>0</v>
      </c>
      <c r="O14" s="13" t="s">
        <v>61</v>
      </c>
      <c r="P14" s="12">
        <v>1</v>
      </c>
      <c r="Q14" s="14" t="s">
        <v>74</v>
      </c>
      <c r="R14" s="12">
        <v>2</v>
      </c>
      <c r="S14" s="12">
        <v>0</v>
      </c>
      <c r="T14" s="12" t="s">
        <v>59</v>
      </c>
      <c r="U14" s="12">
        <v>1</v>
      </c>
      <c r="V14" s="15" t="s">
        <v>90</v>
      </c>
      <c r="W14" s="13">
        <v>500</v>
      </c>
      <c r="X14" s="13">
        <v>7</v>
      </c>
      <c r="Y14" s="13">
        <v>0</v>
      </c>
      <c r="Z14" s="13">
        <v>0</v>
      </c>
      <c r="AA14" s="11" t="s">
        <v>61</v>
      </c>
      <c r="AC14" s="13">
        <v>1</v>
      </c>
      <c r="AD14" s="13">
        <v>1</v>
      </c>
      <c r="AE14" s="13">
        <v>1</v>
      </c>
      <c r="AG14" s="12">
        <v>1</v>
      </c>
      <c r="AI14" s="17" t="s">
        <v>69</v>
      </c>
      <c r="AJ14" s="17" t="s">
        <v>69</v>
      </c>
      <c r="AK14" s="17" t="s">
        <v>69</v>
      </c>
      <c r="AL14" s="17" t="s">
        <v>69</v>
      </c>
      <c r="AM14" s="17" t="s">
        <v>69</v>
      </c>
      <c r="AN14" s="17" t="s">
        <v>69</v>
      </c>
      <c r="AO14" s="17" t="s">
        <v>65</v>
      </c>
      <c r="AP14" s="17" t="s">
        <v>69</v>
      </c>
      <c r="AQ14" s="17" t="s">
        <v>69</v>
      </c>
      <c r="AR14" s="17" t="s">
        <v>61</v>
      </c>
      <c r="AS14" s="17" t="s">
        <v>69</v>
      </c>
      <c r="AT14" s="17" t="s">
        <v>65</v>
      </c>
      <c r="AU14" s="17" t="s">
        <v>65</v>
      </c>
      <c r="AV14" s="17" t="s">
        <v>69</v>
      </c>
      <c r="AW14" s="17" t="s">
        <v>69</v>
      </c>
    </row>
    <row r="15" spans="1:49">
      <c r="A15" s="10">
        <v>8</v>
      </c>
      <c r="B15" s="23">
        <v>44466</v>
      </c>
      <c r="C15" s="23">
        <v>44468</v>
      </c>
      <c r="D15" s="21">
        <v>39</v>
      </c>
      <c r="E15" s="18">
        <v>1</v>
      </c>
      <c r="F15" s="18">
        <v>1</v>
      </c>
      <c r="G15" s="18">
        <v>0</v>
      </c>
      <c r="H15" s="18" t="s">
        <v>60</v>
      </c>
      <c r="I15" s="14">
        <f t="shared" si="0"/>
        <v>0</v>
      </c>
      <c r="J15" s="12">
        <v>0</v>
      </c>
      <c r="K15" s="11">
        <v>0</v>
      </c>
      <c r="L15" s="12">
        <v>0</v>
      </c>
      <c r="M15" s="11" t="s">
        <v>61</v>
      </c>
      <c r="N15" s="11">
        <v>0</v>
      </c>
      <c r="O15" s="13" t="s">
        <v>61</v>
      </c>
      <c r="P15" s="12">
        <v>1</v>
      </c>
      <c r="Q15" s="14" t="s">
        <v>74</v>
      </c>
      <c r="R15" s="12">
        <v>2</v>
      </c>
      <c r="S15" s="12">
        <v>0</v>
      </c>
      <c r="T15" s="12" t="s">
        <v>59</v>
      </c>
      <c r="U15" s="12">
        <v>0</v>
      </c>
      <c r="V15" s="15" t="s">
        <v>91</v>
      </c>
      <c r="W15" s="13">
        <v>500</v>
      </c>
      <c r="X15" s="13">
        <v>7</v>
      </c>
      <c r="Y15" s="13">
        <v>0</v>
      </c>
      <c r="Z15" s="13">
        <v>0</v>
      </c>
      <c r="AA15" s="11" t="s">
        <v>61</v>
      </c>
      <c r="AC15" s="13">
        <v>1</v>
      </c>
      <c r="AD15" s="13">
        <v>1</v>
      </c>
      <c r="AE15" s="13">
        <v>1</v>
      </c>
      <c r="AG15" s="12">
        <v>1</v>
      </c>
      <c r="AI15" s="17" t="s">
        <v>69</v>
      </c>
      <c r="AJ15" s="17" t="s">
        <v>69</v>
      </c>
      <c r="AK15" s="17" t="s">
        <v>69</v>
      </c>
      <c r="AL15" s="17" t="s">
        <v>69</v>
      </c>
      <c r="AM15" s="17" t="s">
        <v>69</v>
      </c>
      <c r="AN15" s="17" t="s">
        <v>69</v>
      </c>
      <c r="AO15" s="17" t="s">
        <v>65</v>
      </c>
      <c r="AP15" s="17" t="s">
        <v>69</v>
      </c>
      <c r="AQ15" s="17" t="s">
        <v>69</v>
      </c>
      <c r="AR15" s="17" t="s">
        <v>61</v>
      </c>
      <c r="AS15" s="17" t="s">
        <v>69</v>
      </c>
      <c r="AT15" s="17" t="s">
        <v>65</v>
      </c>
      <c r="AU15" s="17" t="s">
        <v>65</v>
      </c>
      <c r="AV15" s="17" t="s">
        <v>69</v>
      </c>
      <c r="AW15" s="17" t="s">
        <v>65</v>
      </c>
    </row>
    <row r="16" spans="1:49">
      <c r="A16" s="10">
        <v>9</v>
      </c>
      <c r="B16" s="23">
        <v>44474</v>
      </c>
      <c r="C16" s="23">
        <v>44474</v>
      </c>
      <c r="D16" s="21">
        <v>39.5</v>
      </c>
      <c r="E16" s="18">
        <v>1</v>
      </c>
      <c r="F16" s="18">
        <v>0</v>
      </c>
      <c r="G16" s="18" t="s">
        <v>60</v>
      </c>
      <c r="H16" s="18" t="s">
        <v>60</v>
      </c>
      <c r="I16" s="14">
        <f t="shared" si="0"/>
        <v>0</v>
      </c>
      <c r="J16" s="29">
        <v>1</v>
      </c>
      <c r="K16" s="11">
        <v>0</v>
      </c>
      <c r="L16" s="12">
        <v>0</v>
      </c>
      <c r="M16" s="11" t="s">
        <v>61</v>
      </c>
      <c r="N16" s="11">
        <v>0</v>
      </c>
      <c r="O16" s="13" t="s">
        <v>61</v>
      </c>
      <c r="P16" s="12">
        <v>1</v>
      </c>
      <c r="Q16" s="14" t="s">
        <v>74</v>
      </c>
      <c r="R16" s="12">
        <v>2</v>
      </c>
      <c r="S16" s="12">
        <v>0</v>
      </c>
      <c r="T16" s="12" t="s">
        <v>59</v>
      </c>
      <c r="U16" s="12">
        <v>0</v>
      </c>
      <c r="V16" s="15" t="s">
        <v>92</v>
      </c>
      <c r="W16" s="13">
        <v>500</v>
      </c>
      <c r="X16" s="13">
        <v>0</v>
      </c>
      <c r="Y16" s="13" t="s">
        <v>61</v>
      </c>
      <c r="Z16" s="13">
        <v>0</v>
      </c>
      <c r="AA16" s="11" t="s">
        <v>61</v>
      </c>
      <c r="AC16" s="13" t="s">
        <v>61</v>
      </c>
      <c r="AD16" s="13" t="s">
        <v>61</v>
      </c>
      <c r="AE16" s="13" t="s">
        <v>61</v>
      </c>
      <c r="AG16" s="12">
        <v>0</v>
      </c>
      <c r="AI16" s="17" t="s">
        <v>61</v>
      </c>
      <c r="AJ16" s="17" t="s">
        <v>61</v>
      </c>
      <c r="AK16" s="17" t="s">
        <v>61</v>
      </c>
      <c r="AL16" s="17" t="s">
        <v>61</v>
      </c>
      <c r="AM16" s="17" t="s">
        <v>61</v>
      </c>
      <c r="AN16" s="17" t="s">
        <v>61</v>
      </c>
      <c r="AO16" s="17" t="s">
        <v>61</v>
      </c>
      <c r="AP16" s="17" t="s">
        <v>61</v>
      </c>
      <c r="AQ16" s="17" t="s">
        <v>61</v>
      </c>
      <c r="AR16" s="17" t="s">
        <v>61</v>
      </c>
      <c r="AS16" s="17" t="s">
        <v>61</v>
      </c>
      <c r="AT16" s="17" t="s">
        <v>61</v>
      </c>
      <c r="AU16" s="17" t="s">
        <v>61</v>
      </c>
      <c r="AV16" s="17" t="s">
        <v>61</v>
      </c>
      <c r="AW16" s="17" t="s">
        <v>61</v>
      </c>
    </row>
    <row r="17" spans="1:49">
      <c r="A17" s="10">
        <v>10</v>
      </c>
      <c r="B17" s="23">
        <v>44482</v>
      </c>
      <c r="C17" s="23">
        <v>44484</v>
      </c>
      <c r="D17" s="21">
        <v>43.25</v>
      </c>
      <c r="E17" s="18">
        <v>1</v>
      </c>
      <c r="F17" s="18">
        <v>1</v>
      </c>
      <c r="G17" s="18">
        <v>1</v>
      </c>
      <c r="H17" s="18">
        <v>1</v>
      </c>
      <c r="I17" s="14">
        <f t="shared" si="0"/>
        <v>1</v>
      </c>
      <c r="J17" s="12">
        <v>0</v>
      </c>
      <c r="K17" s="11">
        <v>0</v>
      </c>
      <c r="L17" s="12">
        <v>0</v>
      </c>
      <c r="M17" s="11" t="s">
        <v>61</v>
      </c>
      <c r="N17" s="11">
        <v>0</v>
      </c>
      <c r="O17" s="13" t="s">
        <v>61</v>
      </c>
      <c r="P17" s="12">
        <v>0</v>
      </c>
      <c r="Q17" s="14" t="s">
        <v>93</v>
      </c>
      <c r="R17" s="12">
        <v>0</v>
      </c>
      <c r="S17" s="12">
        <v>0</v>
      </c>
      <c r="T17" s="12" t="s">
        <v>59</v>
      </c>
      <c r="U17" s="12">
        <v>0</v>
      </c>
      <c r="V17" s="15" t="s">
        <v>94</v>
      </c>
      <c r="W17" s="13">
        <v>500</v>
      </c>
      <c r="X17" s="13">
        <v>7</v>
      </c>
      <c r="Y17" s="13">
        <v>0</v>
      </c>
      <c r="Z17" s="13">
        <v>0</v>
      </c>
      <c r="AA17" s="11" t="s">
        <v>61</v>
      </c>
      <c r="AC17" s="13">
        <v>1</v>
      </c>
      <c r="AD17" s="13">
        <v>1</v>
      </c>
      <c r="AE17" s="13">
        <v>1</v>
      </c>
      <c r="AG17" s="12">
        <v>1</v>
      </c>
      <c r="AI17" s="17" t="s">
        <v>69</v>
      </c>
      <c r="AJ17" s="17" t="s">
        <v>69</v>
      </c>
      <c r="AK17" s="17" t="s">
        <v>69</v>
      </c>
      <c r="AL17" s="17" t="s">
        <v>69</v>
      </c>
      <c r="AM17" s="17" t="s">
        <v>69</v>
      </c>
      <c r="AN17" s="17" t="s">
        <v>69</v>
      </c>
      <c r="AO17" s="17" t="s">
        <v>69</v>
      </c>
      <c r="AP17" s="17" t="s">
        <v>69</v>
      </c>
      <c r="AQ17" s="17" t="s">
        <v>69</v>
      </c>
      <c r="AR17" s="17" t="s">
        <v>61</v>
      </c>
      <c r="AS17" s="17" t="s">
        <v>69</v>
      </c>
      <c r="AT17" s="17" t="s">
        <v>65</v>
      </c>
      <c r="AU17" s="17" t="s">
        <v>65</v>
      </c>
      <c r="AV17" s="17" t="s">
        <v>69</v>
      </c>
      <c r="AW17" s="17" t="s">
        <v>69</v>
      </c>
    </row>
    <row r="18" spans="1:49">
      <c r="A18" s="10">
        <v>11</v>
      </c>
      <c r="B18" s="23">
        <v>44488</v>
      </c>
      <c r="C18" s="23">
        <v>44521</v>
      </c>
      <c r="D18" s="21">
        <v>44</v>
      </c>
      <c r="E18" s="18">
        <v>1</v>
      </c>
      <c r="F18" s="18">
        <v>1</v>
      </c>
      <c r="G18" s="18">
        <v>1</v>
      </c>
      <c r="H18" s="18">
        <v>1</v>
      </c>
      <c r="I18" s="14">
        <f t="shared" si="0"/>
        <v>1</v>
      </c>
      <c r="J18" s="12">
        <v>0</v>
      </c>
      <c r="K18" s="11">
        <v>0</v>
      </c>
      <c r="L18" s="12">
        <v>0</v>
      </c>
      <c r="M18" s="11" t="s">
        <v>61</v>
      </c>
      <c r="N18" s="11">
        <v>0</v>
      </c>
      <c r="O18" s="13" t="s">
        <v>61</v>
      </c>
      <c r="P18" s="12">
        <v>0</v>
      </c>
      <c r="Q18" s="14" t="s">
        <v>93</v>
      </c>
      <c r="R18" s="12">
        <v>0</v>
      </c>
      <c r="S18" s="12">
        <v>0</v>
      </c>
      <c r="T18" s="12" t="s">
        <v>95</v>
      </c>
      <c r="U18" s="12">
        <v>0</v>
      </c>
      <c r="V18" s="15" t="s">
        <v>96</v>
      </c>
      <c r="W18" s="13">
        <v>500</v>
      </c>
      <c r="X18" s="13">
        <v>7</v>
      </c>
      <c r="Y18" s="13">
        <v>0</v>
      </c>
      <c r="Z18" s="13">
        <v>0</v>
      </c>
      <c r="AA18" s="11" t="s">
        <v>61</v>
      </c>
      <c r="AC18" s="13">
        <v>1</v>
      </c>
      <c r="AD18" s="13">
        <v>1</v>
      </c>
      <c r="AE18" s="13">
        <v>1</v>
      </c>
      <c r="AG18" s="12">
        <v>1</v>
      </c>
      <c r="AI18" s="17" t="s">
        <v>69</v>
      </c>
      <c r="AJ18" s="17" t="s">
        <v>69</v>
      </c>
      <c r="AK18" s="17" t="s">
        <v>69</v>
      </c>
      <c r="AL18" s="17" t="s">
        <v>69</v>
      </c>
      <c r="AM18" s="17" t="s">
        <v>69</v>
      </c>
      <c r="AN18" s="17" t="s">
        <v>69</v>
      </c>
      <c r="AO18" s="17" t="s">
        <v>69</v>
      </c>
      <c r="AP18" s="17" t="s">
        <v>69</v>
      </c>
      <c r="AQ18" s="17" t="s">
        <v>69</v>
      </c>
      <c r="AR18" s="17" t="s">
        <v>61</v>
      </c>
      <c r="AS18" s="17" t="s">
        <v>69</v>
      </c>
      <c r="AT18" s="17" t="s">
        <v>65</v>
      </c>
      <c r="AU18" s="17" t="s">
        <v>65</v>
      </c>
      <c r="AV18" s="17" t="s">
        <v>69</v>
      </c>
      <c r="AW18" s="17" t="s">
        <v>69</v>
      </c>
    </row>
    <row r="19" spans="1:49">
      <c r="A19" s="10">
        <v>12</v>
      </c>
      <c r="B19" s="23">
        <v>44495</v>
      </c>
      <c r="C19" s="23">
        <v>44497</v>
      </c>
      <c r="D19" s="21">
        <v>41</v>
      </c>
      <c r="E19" s="18">
        <v>1</v>
      </c>
      <c r="F19" s="18">
        <v>1</v>
      </c>
      <c r="G19" s="18">
        <v>1</v>
      </c>
      <c r="H19" s="18" t="s">
        <v>60</v>
      </c>
      <c r="I19" s="14">
        <f t="shared" si="0"/>
        <v>1</v>
      </c>
      <c r="J19" s="12">
        <v>0</v>
      </c>
      <c r="K19" s="11">
        <v>94.3</v>
      </c>
      <c r="L19" s="12">
        <v>0</v>
      </c>
      <c r="M19" s="11" t="s">
        <v>79</v>
      </c>
      <c r="N19" s="11">
        <v>0</v>
      </c>
      <c r="O19" s="13" t="s">
        <v>61</v>
      </c>
      <c r="P19" s="12">
        <v>1</v>
      </c>
      <c r="Q19" s="14" t="s">
        <v>74</v>
      </c>
      <c r="R19" s="12">
        <v>2</v>
      </c>
      <c r="S19" s="12">
        <v>0</v>
      </c>
      <c r="T19" s="12" t="s">
        <v>95</v>
      </c>
      <c r="U19" s="12">
        <v>0</v>
      </c>
      <c r="V19" s="15" t="s">
        <v>97</v>
      </c>
      <c r="W19" s="13">
        <v>500</v>
      </c>
      <c r="X19" s="13">
        <v>7</v>
      </c>
      <c r="Y19" s="13">
        <v>0</v>
      </c>
      <c r="Z19" s="13">
        <v>0</v>
      </c>
      <c r="AA19" s="11" t="s">
        <v>61</v>
      </c>
      <c r="AC19" s="13">
        <v>1</v>
      </c>
      <c r="AD19" s="13">
        <v>1</v>
      </c>
      <c r="AE19" s="13">
        <v>1</v>
      </c>
      <c r="AG19" s="12">
        <v>1</v>
      </c>
      <c r="AI19" s="17" t="s">
        <v>69</v>
      </c>
      <c r="AJ19" s="17" t="s">
        <v>69</v>
      </c>
      <c r="AK19" s="17" t="s">
        <v>69</v>
      </c>
      <c r="AL19" s="17" t="s">
        <v>69</v>
      </c>
      <c r="AM19" s="17" t="s">
        <v>69</v>
      </c>
      <c r="AN19" s="17" t="s">
        <v>69</v>
      </c>
      <c r="AO19" s="17" t="s">
        <v>65</v>
      </c>
      <c r="AP19" s="17" t="s">
        <v>69</v>
      </c>
      <c r="AQ19" s="17" t="s">
        <v>69</v>
      </c>
      <c r="AR19" s="17" t="s">
        <v>61</v>
      </c>
      <c r="AS19" s="17" t="s">
        <v>69</v>
      </c>
      <c r="AT19" s="17" t="s">
        <v>65</v>
      </c>
      <c r="AU19" s="17" t="s">
        <v>65</v>
      </c>
      <c r="AV19" s="17" t="s">
        <v>69</v>
      </c>
      <c r="AW19" s="17" t="s">
        <v>65</v>
      </c>
    </row>
    <row r="20" spans="1:49" ht="24">
      <c r="A20" s="10">
        <v>13</v>
      </c>
      <c r="B20" s="23">
        <v>44502</v>
      </c>
      <c r="C20" s="23">
        <v>44503</v>
      </c>
      <c r="D20" s="21">
        <v>44</v>
      </c>
      <c r="E20" s="18">
        <v>1</v>
      </c>
      <c r="F20" s="18">
        <v>0</v>
      </c>
      <c r="G20" s="18" t="s">
        <v>60</v>
      </c>
      <c r="H20" s="18" t="s">
        <v>60</v>
      </c>
      <c r="I20" s="14">
        <f t="shared" si="0"/>
        <v>0</v>
      </c>
      <c r="J20" s="12">
        <v>1</v>
      </c>
      <c r="K20" s="11">
        <v>94.3</v>
      </c>
      <c r="L20" s="12">
        <v>0</v>
      </c>
      <c r="M20" s="11" t="s">
        <v>79</v>
      </c>
      <c r="N20" s="11">
        <v>0</v>
      </c>
      <c r="O20" s="13" t="s">
        <v>61</v>
      </c>
      <c r="P20" s="12">
        <v>1</v>
      </c>
      <c r="Q20" s="14" t="s">
        <v>74</v>
      </c>
      <c r="R20" s="12">
        <v>2</v>
      </c>
      <c r="S20" s="12">
        <v>0</v>
      </c>
      <c r="T20" s="12" t="s">
        <v>95</v>
      </c>
      <c r="U20" s="12">
        <v>0</v>
      </c>
      <c r="V20" s="28" t="s">
        <v>98</v>
      </c>
      <c r="W20" s="13">
        <v>500</v>
      </c>
      <c r="X20" s="13">
        <v>4</v>
      </c>
      <c r="Y20" s="13">
        <v>1</v>
      </c>
      <c r="Z20" s="13">
        <v>0</v>
      </c>
      <c r="AA20" s="11">
        <v>12</v>
      </c>
      <c r="AB20" s="16" t="s">
        <v>99</v>
      </c>
      <c r="AC20" s="13">
        <v>1</v>
      </c>
      <c r="AD20" s="13">
        <v>0</v>
      </c>
      <c r="AE20" s="13">
        <v>0</v>
      </c>
      <c r="AG20" s="12">
        <v>1</v>
      </c>
      <c r="AH20" s="16" t="s">
        <v>100</v>
      </c>
      <c r="AI20" s="17" t="s">
        <v>69</v>
      </c>
      <c r="AJ20" s="17" t="s">
        <v>69</v>
      </c>
      <c r="AK20" s="17" t="s">
        <v>69</v>
      </c>
      <c r="AL20" s="17" t="s">
        <v>69</v>
      </c>
      <c r="AM20" s="17" t="s">
        <v>69</v>
      </c>
      <c r="AN20" s="17" t="s">
        <v>69</v>
      </c>
      <c r="AO20" s="17" t="s">
        <v>65</v>
      </c>
      <c r="AP20" s="17" t="s">
        <v>69</v>
      </c>
      <c r="AQ20" s="17" t="s">
        <v>69</v>
      </c>
      <c r="AR20" s="17" t="s">
        <v>61</v>
      </c>
      <c r="AS20" s="17" t="s">
        <v>61</v>
      </c>
      <c r="AT20" s="17" t="s">
        <v>65</v>
      </c>
      <c r="AU20" s="17" t="s">
        <v>65</v>
      </c>
      <c r="AV20" s="17" t="s">
        <v>69</v>
      </c>
      <c r="AW20" s="17" t="s">
        <v>65</v>
      </c>
    </row>
    <row r="21" spans="1:49" ht="23.25">
      <c r="A21" s="10">
        <v>14</v>
      </c>
      <c r="B21" s="23">
        <v>44509</v>
      </c>
      <c r="C21" s="23">
        <v>44510</v>
      </c>
      <c r="D21" s="21">
        <v>44</v>
      </c>
      <c r="E21" s="18">
        <v>1</v>
      </c>
      <c r="F21" s="18">
        <v>1</v>
      </c>
      <c r="G21" s="18">
        <v>1</v>
      </c>
      <c r="H21" s="18" t="s">
        <v>60</v>
      </c>
      <c r="I21" s="14">
        <f t="shared" si="0"/>
        <v>1</v>
      </c>
      <c r="J21" s="12">
        <v>0</v>
      </c>
      <c r="K21" s="11">
        <v>94.3</v>
      </c>
      <c r="L21" s="12">
        <v>0</v>
      </c>
      <c r="M21" s="11" t="s">
        <v>79</v>
      </c>
      <c r="N21" s="11">
        <v>0</v>
      </c>
      <c r="O21" s="13" t="s">
        <v>61</v>
      </c>
      <c r="P21" s="12">
        <v>1</v>
      </c>
      <c r="Q21" s="14" t="s">
        <v>74</v>
      </c>
      <c r="R21" s="12">
        <v>2</v>
      </c>
      <c r="S21" s="12">
        <v>0</v>
      </c>
      <c r="T21" s="12" t="s">
        <v>95</v>
      </c>
      <c r="U21" s="12">
        <v>0</v>
      </c>
      <c r="V21" s="28" t="s">
        <v>101</v>
      </c>
      <c r="W21" s="13">
        <v>500</v>
      </c>
      <c r="X21" s="13">
        <v>4</v>
      </c>
      <c r="Y21" s="13">
        <v>1</v>
      </c>
      <c r="Z21" s="13">
        <v>1</v>
      </c>
      <c r="AA21" s="11">
        <v>16</v>
      </c>
      <c r="AC21" s="13">
        <v>1</v>
      </c>
      <c r="AD21" s="13">
        <v>0</v>
      </c>
      <c r="AE21" s="13">
        <v>0</v>
      </c>
      <c r="AG21" s="12">
        <v>1</v>
      </c>
      <c r="AH21" s="16" t="s">
        <v>102</v>
      </c>
      <c r="AI21" s="17" t="s">
        <v>69</v>
      </c>
      <c r="AJ21" s="17" t="s">
        <v>69</v>
      </c>
      <c r="AK21" s="17" t="s">
        <v>69</v>
      </c>
      <c r="AL21" s="17" t="s">
        <v>69</v>
      </c>
      <c r="AM21" s="17" t="s">
        <v>69</v>
      </c>
      <c r="AN21" s="17" t="s">
        <v>69</v>
      </c>
      <c r="AO21" s="17" t="s">
        <v>65</v>
      </c>
      <c r="AP21" s="17" t="s">
        <v>69</v>
      </c>
      <c r="AQ21" s="17" t="s">
        <v>69</v>
      </c>
      <c r="AR21" s="17" t="s">
        <v>61</v>
      </c>
      <c r="AS21" s="17" t="s">
        <v>69</v>
      </c>
      <c r="AT21" s="17" t="s">
        <v>65</v>
      </c>
      <c r="AU21" s="17" t="s">
        <v>65</v>
      </c>
      <c r="AV21" s="17" t="s">
        <v>69</v>
      </c>
      <c r="AW21" s="17" t="s">
        <v>65</v>
      </c>
    </row>
    <row r="22" spans="1:49">
      <c r="A22" s="10">
        <v>15</v>
      </c>
      <c r="B22" s="23">
        <v>44516</v>
      </c>
      <c r="C22" s="23">
        <v>44517</v>
      </c>
      <c r="D22" s="21">
        <v>47</v>
      </c>
      <c r="E22" s="18">
        <v>1</v>
      </c>
      <c r="F22" s="18">
        <v>1</v>
      </c>
      <c r="G22" s="18">
        <v>1</v>
      </c>
      <c r="H22" s="18">
        <v>1</v>
      </c>
      <c r="I22" s="14">
        <f t="shared" si="0"/>
        <v>1</v>
      </c>
      <c r="J22" s="12">
        <v>0</v>
      </c>
      <c r="K22" s="11">
        <v>0</v>
      </c>
      <c r="L22" s="12">
        <v>0</v>
      </c>
      <c r="M22" s="11" t="s">
        <v>61</v>
      </c>
      <c r="N22" s="11">
        <v>0</v>
      </c>
      <c r="O22" s="13" t="s">
        <v>61</v>
      </c>
      <c r="P22" s="12">
        <v>0</v>
      </c>
      <c r="Q22" s="14" t="s">
        <v>93</v>
      </c>
      <c r="R22" s="12">
        <v>0</v>
      </c>
      <c r="S22" s="12">
        <v>0</v>
      </c>
      <c r="T22" s="12" t="s">
        <v>95</v>
      </c>
      <c r="U22" s="12">
        <v>1</v>
      </c>
      <c r="V22" s="15" t="s">
        <v>103</v>
      </c>
      <c r="W22" s="13">
        <v>500</v>
      </c>
      <c r="X22" s="13">
        <v>6</v>
      </c>
      <c r="Y22" s="13">
        <v>1</v>
      </c>
      <c r="Z22" s="13">
        <v>0</v>
      </c>
      <c r="AA22" s="11">
        <v>24</v>
      </c>
      <c r="AB22" s="16" t="s">
        <v>76</v>
      </c>
      <c r="AC22" s="13">
        <v>1</v>
      </c>
      <c r="AD22" s="13">
        <v>1</v>
      </c>
      <c r="AE22" s="13">
        <v>0</v>
      </c>
      <c r="AG22" s="12">
        <v>1</v>
      </c>
      <c r="AH22" s="16" t="s">
        <v>104</v>
      </c>
      <c r="AI22" s="17" t="s">
        <v>69</v>
      </c>
      <c r="AJ22" s="17" t="s">
        <v>69</v>
      </c>
      <c r="AK22" s="17" t="s">
        <v>69</v>
      </c>
      <c r="AL22" s="17" t="s">
        <v>69</v>
      </c>
      <c r="AM22" s="17" t="s">
        <v>69</v>
      </c>
      <c r="AN22" s="17" t="s">
        <v>61</v>
      </c>
      <c r="AO22" s="17" t="s">
        <v>69</v>
      </c>
      <c r="AP22" s="17" t="s">
        <v>69</v>
      </c>
      <c r="AQ22" s="17" t="s">
        <v>69</v>
      </c>
      <c r="AR22" s="17" t="s">
        <v>61</v>
      </c>
      <c r="AS22" s="17" t="s">
        <v>69</v>
      </c>
      <c r="AT22" s="17" t="s">
        <v>65</v>
      </c>
      <c r="AU22" s="17" t="s">
        <v>65</v>
      </c>
      <c r="AV22" s="17" t="s">
        <v>69</v>
      </c>
      <c r="AW22" s="17" t="s">
        <v>69</v>
      </c>
    </row>
    <row r="23" spans="1:49">
      <c r="A23" s="10">
        <v>16</v>
      </c>
      <c r="B23" s="23">
        <v>44530</v>
      </c>
      <c r="C23" s="23">
        <v>44530</v>
      </c>
      <c r="D23" s="21">
        <v>40.25</v>
      </c>
      <c r="E23" s="18">
        <v>1</v>
      </c>
      <c r="F23" s="18">
        <v>1</v>
      </c>
      <c r="G23" s="18">
        <v>1</v>
      </c>
      <c r="H23" s="18" t="s">
        <v>60</v>
      </c>
      <c r="I23" s="14">
        <f t="shared" si="0"/>
        <v>1</v>
      </c>
      <c r="J23" s="12">
        <v>0</v>
      </c>
      <c r="K23" s="11">
        <v>100</v>
      </c>
      <c r="L23" s="12">
        <v>0</v>
      </c>
      <c r="M23" s="11" t="s">
        <v>79</v>
      </c>
      <c r="N23" s="11">
        <v>0</v>
      </c>
      <c r="O23" s="13" t="s">
        <v>61</v>
      </c>
      <c r="P23" s="12">
        <v>1</v>
      </c>
      <c r="Q23" s="14" t="s">
        <v>74</v>
      </c>
      <c r="R23" s="12">
        <v>2</v>
      </c>
      <c r="S23" s="12">
        <v>0</v>
      </c>
      <c r="T23" s="12" t="s">
        <v>95</v>
      </c>
      <c r="U23" s="12">
        <v>1</v>
      </c>
      <c r="V23" s="15" t="s">
        <v>105</v>
      </c>
      <c r="W23" s="13">
        <v>500</v>
      </c>
      <c r="X23" s="13">
        <v>3</v>
      </c>
      <c r="Y23" s="13">
        <v>1</v>
      </c>
      <c r="Z23" s="13">
        <v>0</v>
      </c>
      <c r="AA23" s="11">
        <v>6</v>
      </c>
      <c r="AB23" s="16" t="s">
        <v>106</v>
      </c>
      <c r="AC23" s="13">
        <v>1</v>
      </c>
      <c r="AD23" s="13">
        <v>0</v>
      </c>
      <c r="AE23" s="13">
        <v>0</v>
      </c>
      <c r="AG23" s="12">
        <v>1</v>
      </c>
      <c r="AH23" s="16" t="s">
        <v>107</v>
      </c>
      <c r="AI23" s="17" t="s">
        <v>69</v>
      </c>
      <c r="AJ23" s="17" t="s">
        <v>69</v>
      </c>
      <c r="AK23" s="17" t="s">
        <v>69</v>
      </c>
      <c r="AL23" s="17" t="s">
        <v>69</v>
      </c>
      <c r="AM23" s="17" t="s">
        <v>69</v>
      </c>
      <c r="AN23" s="17" t="s">
        <v>69</v>
      </c>
      <c r="AO23" s="17" t="s">
        <v>65</v>
      </c>
      <c r="AP23" s="17" t="s">
        <v>69</v>
      </c>
      <c r="AQ23" s="17" t="s">
        <v>69</v>
      </c>
      <c r="AR23" s="17" t="s">
        <v>61</v>
      </c>
      <c r="AS23" s="17" t="s">
        <v>69</v>
      </c>
      <c r="AT23" s="17" t="s">
        <v>65</v>
      </c>
      <c r="AU23" s="17" t="s">
        <v>65</v>
      </c>
      <c r="AV23" s="17" t="s">
        <v>69</v>
      </c>
      <c r="AW23" s="17" t="s">
        <v>65</v>
      </c>
    </row>
    <row r="24" spans="1:49">
      <c r="A24" s="10">
        <v>17</v>
      </c>
      <c r="B24" s="23">
        <v>44537</v>
      </c>
      <c r="C24" s="23">
        <v>44537</v>
      </c>
      <c r="D24" s="21">
        <v>38.5</v>
      </c>
      <c r="E24" s="18">
        <v>1</v>
      </c>
      <c r="F24" s="18">
        <v>1</v>
      </c>
      <c r="G24" s="18">
        <v>1</v>
      </c>
      <c r="H24" s="18" t="s">
        <v>60</v>
      </c>
      <c r="I24" s="14">
        <f t="shared" si="0"/>
        <v>1</v>
      </c>
      <c r="J24" s="12">
        <v>0</v>
      </c>
      <c r="K24" s="11">
        <v>0</v>
      </c>
      <c r="L24" s="12">
        <v>0</v>
      </c>
      <c r="M24" s="11" t="s">
        <v>61</v>
      </c>
      <c r="N24" s="11">
        <v>0</v>
      </c>
      <c r="O24" s="13" t="s">
        <v>61</v>
      </c>
      <c r="P24" s="12">
        <v>1</v>
      </c>
      <c r="Q24" s="14" t="s">
        <v>74</v>
      </c>
      <c r="R24" s="12">
        <v>2</v>
      </c>
      <c r="S24" s="12">
        <v>0</v>
      </c>
      <c r="T24" s="12" t="s">
        <v>95</v>
      </c>
      <c r="U24" s="12">
        <v>1</v>
      </c>
      <c r="V24" s="15" t="s">
        <v>108</v>
      </c>
      <c r="W24" s="13">
        <v>500</v>
      </c>
      <c r="X24" s="13">
        <v>3</v>
      </c>
      <c r="Y24" s="13">
        <v>1</v>
      </c>
      <c r="Z24" s="13">
        <v>0</v>
      </c>
      <c r="AA24" s="11">
        <v>9.5</v>
      </c>
      <c r="AB24" s="16" t="s">
        <v>109</v>
      </c>
      <c r="AC24" s="13">
        <v>1</v>
      </c>
      <c r="AD24" s="13">
        <v>0</v>
      </c>
      <c r="AE24" s="13">
        <v>0</v>
      </c>
      <c r="AG24" s="12">
        <v>1</v>
      </c>
      <c r="AH24" s="16" t="s">
        <v>110</v>
      </c>
      <c r="AI24" s="17" t="s">
        <v>69</v>
      </c>
      <c r="AJ24" s="17" t="s">
        <v>69</v>
      </c>
      <c r="AK24" s="17" t="s">
        <v>69</v>
      </c>
      <c r="AL24" s="17" t="s">
        <v>69</v>
      </c>
      <c r="AM24" s="17" t="s">
        <v>69</v>
      </c>
      <c r="AN24" s="17" t="s">
        <v>69</v>
      </c>
      <c r="AO24" s="17" t="s">
        <v>65</v>
      </c>
      <c r="AP24" s="17" t="s">
        <v>69</v>
      </c>
      <c r="AQ24" s="17" t="s">
        <v>69</v>
      </c>
      <c r="AR24" s="17" t="s">
        <v>61</v>
      </c>
      <c r="AS24" s="17" t="s">
        <v>69</v>
      </c>
      <c r="AT24" s="17" t="s">
        <v>65</v>
      </c>
      <c r="AU24" s="17" t="s">
        <v>65</v>
      </c>
      <c r="AV24" s="17" t="s">
        <v>69</v>
      </c>
      <c r="AW24" s="17" t="s">
        <v>65</v>
      </c>
    </row>
    <row r="25" spans="1:49">
      <c r="A25" s="10">
        <v>18</v>
      </c>
      <c r="B25" s="23">
        <v>44544</v>
      </c>
      <c r="C25" s="23">
        <v>44544</v>
      </c>
      <c r="D25" s="21">
        <v>40.5</v>
      </c>
      <c r="E25" s="18">
        <v>1</v>
      </c>
      <c r="F25" s="18">
        <v>0</v>
      </c>
      <c r="G25" s="18" t="s">
        <v>60</v>
      </c>
      <c r="H25" s="18" t="s">
        <v>60</v>
      </c>
      <c r="I25" s="14">
        <f t="shared" si="0"/>
        <v>0</v>
      </c>
      <c r="J25" s="12">
        <v>1</v>
      </c>
      <c r="K25" s="11">
        <v>0</v>
      </c>
      <c r="L25" s="12">
        <v>0</v>
      </c>
      <c r="M25" s="11" t="s">
        <v>61</v>
      </c>
      <c r="N25" s="11">
        <v>0</v>
      </c>
      <c r="O25" s="13" t="s">
        <v>61</v>
      </c>
      <c r="P25" s="12">
        <v>1</v>
      </c>
      <c r="Q25" s="14" t="s">
        <v>74</v>
      </c>
      <c r="R25" s="12">
        <v>2</v>
      </c>
      <c r="S25" s="12">
        <v>0</v>
      </c>
      <c r="T25" s="12" t="s">
        <v>95</v>
      </c>
      <c r="U25" s="12" t="s">
        <v>61</v>
      </c>
      <c r="V25" s="28" t="s">
        <v>111</v>
      </c>
      <c r="W25" s="13">
        <v>500</v>
      </c>
      <c r="X25" s="13" t="s">
        <v>61</v>
      </c>
      <c r="Y25" s="13">
        <v>1</v>
      </c>
      <c r="Z25" s="13" t="s">
        <v>61</v>
      </c>
      <c r="AA25" s="11" t="s">
        <v>61</v>
      </c>
      <c r="AB25" s="16" t="s">
        <v>112</v>
      </c>
      <c r="AC25" s="13" t="s">
        <v>61</v>
      </c>
      <c r="AD25" s="13" t="s">
        <v>61</v>
      </c>
      <c r="AE25" s="13" t="s">
        <v>61</v>
      </c>
      <c r="AG25" s="12">
        <v>0</v>
      </c>
      <c r="AI25" s="17" t="s">
        <v>61</v>
      </c>
      <c r="AJ25" s="17" t="s">
        <v>61</v>
      </c>
      <c r="AK25" s="17" t="s">
        <v>61</v>
      </c>
      <c r="AL25" s="17" t="s">
        <v>61</v>
      </c>
      <c r="AM25" s="17" t="s">
        <v>61</v>
      </c>
      <c r="AN25" s="17" t="s">
        <v>61</v>
      </c>
      <c r="AO25" s="17" t="s">
        <v>61</v>
      </c>
      <c r="AP25" s="17" t="s">
        <v>61</v>
      </c>
      <c r="AQ25" s="17" t="s">
        <v>61</v>
      </c>
      <c r="AR25" s="17" t="s">
        <v>61</v>
      </c>
      <c r="AS25" s="17" t="s">
        <v>61</v>
      </c>
      <c r="AT25" s="17" t="s">
        <v>61</v>
      </c>
      <c r="AU25" s="17" t="s">
        <v>61</v>
      </c>
      <c r="AV25" s="17" t="s">
        <v>61</v>
      </c>
      <c r="AW25" s="17" t="s">
        <v>61</v>
      </c>
    </row>
    <row r="26" spans="1:49">
      <c r="A26" s="10">
        <v>19</v>
      </c>
      <c r="B26" s="23">
        <v>44565</v>
      </c>
      <c r="C26" s="23">
        <v>44567</v>
      </c>
      <c r="D26" s="21">
        <v>38.5</v>
      </c>
      <c r="E26" s="18">
        <v>1</v>
      </c>
      <c r="F26" s="18">
        <v>1</v>
      </c>
      <c r="G26" s="18">
        <v>1</v>
      </c>
      <c r="H26" s="18" t="s">
        <v>60</v>
      </c>
      <c r="I26" s="14">
        <f t="shared" si="0"/>
        <v>1</v>
      </c>
      <c r="J26" s="12">
        <v>0</v>
      </c>
      <c r="K26" s="11">
        <v>0</v>
      </c>
      <c r="L26" s="12">
        <v>0</v>
      </c>
      <c r="M26" s="11" t="s">
        <v>61</v>
      </c>
      <c r="N26" s="11">
        <v>0</v>
      </c>
      <c r="O26" s="13" t="s">
        <v>61</v>
      </c>
      <c r="P26" s="12">
        <v>1</v>
      </c>
      <c r="Q26" s="14" t="s">
        <v>74</v>
      </c>
      <c r="R26" s="12">
        <v>2</v>
      </c>
      <c r="S26" s="12">
        <v>0</v>
      </c>
      <c r="T26" s="12" t="s">
        <v>95</v>
      </c>
      <c r="V26" s="15" t="s">
        <v>113</v>
      </c>
      <c r="W26" s="13">
        <v>500</v>
      </c>
      <c r="X26" s="13">
        <v>7</v>
      </c>
      <c r="Y26" s="13">
        <v>0</v>
      </c>
      <c r="Z26" s="13" t="s">
        <v>61</v>
      </c>
      <c r="AA26" s="11" t="s">
        <v>61</v>
      </c>
      <c r="AB26" s="16" t="s">
        <v>61</v>
      </c>
      <c r="AC26" s="13">
        <v>1</v>
      </c>
      <c r="AD26" s="13">
        <v>1</v>
      </c>
      <c r="AE26" s="13">
        <v>1</v>
      </c>
      <c r="AG26" s="12">
        <v>1</v>
      </c>
      <c r="AH26" s="16" t="s">
        <v>114</v>
      </c>
      <c r="AI26" s="17" t="s">
        <v>69</v>
      </c>
      <c r="AJ26" s="17" t="s">
        <v>69</v>
      </c>
      <c r="AK26" s="17" t="s">
        <v>69</v>
      </c>
      <c r="AL26" s="17" t="s">
        <v>69</v>
      </c>
      <c r="AM26" s="17" t="s">
        <v>69</v>
      </c>
      <c r="AN26" s="17" t="s">
        <v>69</v>
      </c>
      <c r="AO26" s="17" t="s">
        <v>65</v>
      </c>
      <c r="AP26" s="17" t="s">
        <v>69</v>
      </c>
      <c r="AQ26" s="17" t="s">
        <v>69</v>
      </c>
      <c r="AR26" s="17" t="s">
        <v>61</v>
      </c>
      <c r="AS26" s="17" t="s">
        <v>69</v>
      </c>
      <c r="AT26" s="17" t="s">
        <v>65</v>
      </c>
      <c r="AU26" s="17" t="s">
        <v>65</v>
      </c>
      <c r="AV26" s="17" t="s">
        <v>69</v>
      </c>
      <c r="AW26" s="17" t="s">
        <v>69</v>
      </c>
    </row>
    <row r="27" spans="1:49" ht="23.25">
      <c r="A27" s="10">
        <v>20</v>
      </c>
      <c r="B27" s="23">
        <v>44579</v>
      </c>
      <c r="C27" s="23">
        <v>44581</v>
      </c>
      <c r="D27" s="21">
        <v>46.5</v>
      </c>
      <c r="E27" s="18">
        <v>0</v>
      </c>
      <c r="F27" s="18" t="s">
        <v>60</v>
      </c>
      <c r="G27" s="18" t="s">
        <v>60</v>
      </c>
      <c r="H27" s="18" t="s">
        <v>60</v>
      </c>
      <c r="I27" s="14">
        <f t="shared" si="0"/>
        <v>0</v>
      </c>
      <c r="J27" s="12">
        <v>1</v>
      </c>
      <c r="K27" s="11">
        <v>0</v>
      </c>
      <c r="L27" s="12">
        <v>0</v>
      </c>
      <c r="M27" s="11" t="s">
        <v>61</v>
      </c>
      <c r="N27" s="11">
        <v>0</v>
      </c>
      <c r="O27" s="13" t="s">
        <v>61</v>
      </c>
      <c r="P27" s="12">
        <v>1</v>
      </c>
      <c r="Q27" s="14" t="s">
        <v>115</v>
      </c>
      <c r="R27" s="12">
        <v>2</v>
      </c>
      <c r="S27" s="12">
        <v>0</v>
      </c>
      <c r="T27" s="12" t="s">
        <v>95</v>
      </c>
      <c r="U27" s="12" t="s">
        <v>61</v>
      </c>
      <c r="V27" s="15" t="s">
        <v>116</v>
      </c>
      <c r="W27" s="13">
        <v>500</v>
      </c>
      <c r="X27" s="13">
        <v>7</v>
      </c>
      <c r="Y27" s="13">
        <v>0</v>
      </c>
      <c r="Z27" s="13" t="s">
        <v>61</v>
      </c>
      <c r="AA27" s="11" t="s">
        <v>61</v>
      </c>
      <c r="AB27" s="16" t="s">
        <v>61</v>
      </c>
      <c r="AC27" s="13">
        <v>1</v>
      </c>
      <c r="AD27" s="13">
        <v>1</v>
      </c>
      <c r="AE27" s="24">
        <v>1</v>
      </c>
      <c r="AF27" s="25" t="s">
        <v>117</v>
      </c>
      <c r="AG27" s="12">
        <v>1</v>
      </c>
      <c r="AH27" s="16" t="s">
        <v>118</v>
      </c>
      <c r="AI27" s="17" t="s">
        <v>69</v>
      </c>
      <c r="AJ27" s="17" t="s">
        <v>69</v>
      </c>
      <c r="AK27" s="17" t="s">
        <v>69</v>
      </c>
      <c r="AL27" s="17" t="s">
        <v>69</v>
      </c>
      <c r="AM27" s="17" t="s">
        <v>69</v>
      </c>
      <c r="AN27" s="17" t="s">
        <v>69</v>
      </c>
      <c r="AO27" s="17" t="s">
        <v>61</v>
      </c>
      <c r="AP27" s="17" t="s">
        <v>69</v>
      </c>
      <c r="AQ27" s="17" t="s">
        <v>69</v>
      </c>
      <c r="AR27" s="17" t="s">
        <v>61</v>
      </c>
      <c r="AS27" s="17" t="s">
        <v>69</v>
      </c>
      <c r="AT27" s="17" t="s">
        <v>69</v>
      </c>
      <c r="AU27" s="17" t="s">
        <v>69</v>
      </c>
      <c r="AV27" s="17" t="s">
        <v>69</v>
      </c>
      <c r="AW27" s="17" t="s">
        <v>69</v>
      </c>
    </row>
    <row r="28" spans="1:49">
      <c r="A28" s="10">
        <v>21</v>
      </c>
      <c r="B28" s="23">
        <v>44586</v>
      </c>
      <c r="C28" s="23">
        <v>44588</v>
      </c>
      <c r="D28" s="21">
        <v>47.5</v>
      </c>
      <c r="E28" s="18">
        <v>0</v>
      </c>
      <c r="F28" s="18" t="s">
        <v>60</v>
      </c>
      <c r="G28" s="18" t="s">
        <v>60</v>
      </c>
      <c r="H28" s="18" t="s">
        <v>60</v>
      </c>
      <c r="I28" s="14">
        <f t="shared" si="0"/>
        <v>0</v>
      </c>
      <c r="J28" s="12">
        <v>1</v>
      </c>
      <c r="K28" s="11">
        <v>100</v>
      </c>
      <c r="L28" s="12">
        <v>0</v>
      </c>
      <c r="M28" s="11" t="s">
        <v>79</v>
      </c>
      <c r="N28" s="11">
        <v>0</v>
      </c>
      <c r="O28" s="13" t="s">
        <v>61</v>
      </c>
      <c r="P28" s="12">
        <v>1</v>
      </c>
      <c r="Q28" s="14" t="s">
        <v>115</v>
      </c>
      <c r="R28" s="12">
        <v>3</v>
      </c>
      <c r="S28" s="12">
        <v>0</v>
      </c>
      <c r="T28" s="12" t="s">
        <v>95</v>
      </c>
      <c r="U28" s="12" t="s">
        <v>61</v>
      </c>
      <c r="V28" s="15" t="s">
        <v>119</v>
      </c>
      <c r="W28" s="13">
        <v>100</v>
      </c>
      <c r="X28" s="13">
        <v>7</v>
      </c>
      <c r="Y28" s="13">
        <v>0</v>
      </c>
      <c r="Z28" s="13" t="s">
        <v>61</v>
      </c>
      <c r="AA28" s="11" t="s">
        <v>61</v>
      </c>
      <c r="AB28" s="16" t="s">
        <v>61</v>
      </c>
      <c r="AC28" s="13">
        <v>1</v>
      </c>
      <c r="AD28" s="13">
        <v>1</v>
      </c>
      <c r="AE28" s="13">
        <v>1</v>
      </c>
      <c r="AG28" s="12">
        <v>1</v>
      </c>
      <c r="AH28" s="16" t="s">
        <v>120</v>
      </c>
      <c r="AI28" s="17" t="s">
        <v>69</v>
      </c>
      <c r="AJ28" s="17" t="s">
        <v>69</v>
      </c>
      <c r="AK28" s="17" t="s">
        <v>69</v>
      </c>
      <c r="AL28" s="17" t="s">
        <v>69</v>
      </c>
      <c r="AM28" s="17" t="s">
        <v>69</v>
      </c>
      <c r="AN28" s="17" t="s">
        <v>69</v>
      </c>
      <c r="AO28" s="17" t="s">
        <v>61</v>
      </c>
      <c r="AP28" s="17" t="s">
        <v>69</v>
      </c>
      <c r="AQ28" s="17" t="s">
        <v>69</v>
      </c>
      <c r="AR28" s="17" t="s">
        <v>61</v>
      </c>
      <c r="AS28" s="17" t="s">
        <v>69</v>
      </c>
      <c r="AT28" s="17" t="s">
        <v>69</v>
      </c>
      <c r="AU28" s="17" t="s">
        <v>69</v>
      </c>
      <c r="AV28" s="17" t="s">
        <v>69</v>
      </c>
      <c r="AW28" s="17" t="s">
        <v>69</v>
      </c>
    </row>
    <row r="29" spans="1:49">
      <c r="A29" s="10">
        <v>22</v>
      </c>
      <c r="B29" s="23">
        <v>44593</v>
      </c>
      <c r="C29" s="23">
        <v>44595</v>
      </c>
      <c r="D29" s="21">
        <v>41.5</v>
      </c>
      <c r="E29" s="18">
        <v>0</v>
      </c>
      <c r="F29" s="18" t="s">
        <v>60</v>
      </c>
      <c r="G29" s="18" t="s">
        <v>60</v>
      </c>
      <c r="H29" s="18" t="s">
        <v>60</v>
      </c>
      <c r="I29" s="14">
        <f t="shared" si="0"/>
        <v>0</v>
      </c>
      <c r="J29" s="12">
        <v>1</v>
      </c>
      <c r="K29" s="11">
        <v>100</v>
      </c>
      <c r="L29" s="12">
        <v>0</v>
      </c>
      <c r="M29" s="11" t="s">
        <v>79</v>
      </c>
      <c r="N29" s="11">
        <v>1</v>
      </c>
      <c r="O29" s="13">
        <v>0</v>
      </c>
      <c r="P29" s="12">
        <v>1</v>
      </c>
      <c r="Q29" s="14" t="s">
        <v>115</v>
      </c>
      <c r="R29" s="12">
        <v>4</v>
      </c>
      <c r="S29" s="12">
        <v>0</v>
      </c>
      <c r="T29" s="12" t="s">
        <v>95</v>
      </c>
      <c r="U29" s="12" t="s">
        <v>61</v>
      </c>
      <c r="V29" s="15" t="s">
        <v>121</v>
      </c>
      <c r="W29" s="13">
        <v>100</v>
      </c>
      <c r="X29" s="13">
        <v>7</v>
      </c>
      <c r="Y29" s="13">
        <v>0</v>
      </c>
      <c r="Z29" s="13" t="s">
        <v>61</v>
      </c>
      <c r="AA29" s="11" t="s">
        <v>61</v>
      </c>
      <c r="AB29" s="16" t="s">
        <v>61</v>
      </c>
      <c r="AC29" s="13">
        <v>1</v>
      </c>
      <c r="AD29" s="13">
        <v>1</v>
      </c>
      <c r="AE29" s="13">
        <v>1</v>
      </c>
      <c r="AG29" s="12">
        <v>1</v>
      </c>
      <c r="AH29" s="16" t="s">
        <v>120</v>
      </c>
      <c r="AI29" s="17" t="s">
        <v>69</v>
      </c>
      <c r="AJ29" s="17" t="s">
        <v>69</v>
      </c>
      <c r="AK29" s="17" t="s">
        <v>69</v>
      </c>
      <c r="AL29" s="17" t="s">
        <v>69</v>
      </c>
      <c r="AM29" s="17" t="s">
        <v>69</v>
      </c>
      <c r="AN29" s="17" t="s">
        <v>69</v>
      </c>
      <c r="AO29" s="17" t="s">
        <v>61</v>
      </c>
      <c r="AP29" s="17" t="s">
        <v>69</v>
      </c>
      <c r="AQ29" s="17" t="s">
        <v>69</v>
      </c>
      <c r="AR29" s="17" t="s">
        <v>122</v>
      </c>
      <c r="AS29" s="17" t="s">
        <v>69</v>
      </c>
      <c r="AT29" s="17" t="s">
        <v>69</v>
      </c>
      <c r="AU29" s="17" t="s">
        <v>69</v>
      </c>
      <c r="AV29" s="17" t="s">
        <v>69</v>
      </c>
      <c r="AW29" s="17" t="s">
        <v>69</v>
      </c>
    </row>
    <row r="30" spans="1:49">
      <c r="A30" s="10">
        <v>23</v>
      </c>
      <c r="B30" s="23">
        <v>44600</v>
      </c>
      <c r="C30" s="23">
        <v>44602</v>
      </c>
      <c r="D30" s="21">
        <v>42.2</v>
      </c>
      <c r="E30" s="18">
        <v>1</v>
      </c>
      <c r="F30" s="18">
        <v>1</v>
      </c>
      <c r="G30" s="18">
        <v>1</v>
      </c>
      <c r="H30" s="18">
        <v>1</v>
      </c>
      <c r="I30" s="14">
        <f t="shared" si="0"/>
        <v>1</v>
      </c>
      <c r="J30" s="12">
        <v>0</v>
      </c>
      <c r="K30" s="11">
        <v>100</v>
      </c>
      <c r="L30" s="12">
        <v>0</v>
      </c>
      <c r="M30" s="11" t="s">
        <v>79</v>
      </c>
      <c r="N30" s="11">
        <v>0</v>
      </c>
      <c r="O30" s="13" t="s">
        <v>61</v>
      </c>
      <c r="P30" s="12">
        <v>1</v>
      </c>
      <c r="Q30" s="14" t="s">
        <v>115</v>
      </c>
      <c r="R30" s="12">
        <v>4</v>
      </c>
      <c r="S30" s="12">
        <v>1</v>
      </c>
      <c r="T30" s="12" t="s">
        <v>95</v>
      </c>
      <c r="U30" s="12" t="s">
        <v>61</v>
      </c>
      <c r="V30" s="15" t="s">
        <v>123</v>
      </c>
      <c r="W30" s="13">
        <v>100</v>
      </c>
      <c r="X30" s="13">
        <v>7</v>
      </c>
      <c r="Y30" s="13">
        <v>0</v>
      </c>
      <c r="Z30" s="13" t="s">
        <v>61</v>
      </c>
      <c r="AA30" s="11" t="s">
        <v>61</v>
      </c>
      <c r="AB30" s="16" t="s">
        <v>61</v>
      </c>
      <c r="AC30" s="13">
        <v>1</v>
      </c>
      <c r="AD30" s="13">
        <v>1</v>
      </c>
      <c r="AE30" s="13">
        <v>1</v>
      </c>
      <c r="AG30" s="12">
        <v>1</v>
      </c>
      <c r="AH30" s="16" t="s">
        <v>124</v>
      </c>
      <c r="AI30" s="17" t="s">
        <v>69</v>
      </c>
      <c r="AJ30" s="17" t="s">
        <v>69</v>
      </c>
      <c r="AK30" s="17" t="s">
        <v>69</v>
      </c>
      <c r="AL30" s="17" t="s">
        <v>69</v>
      </c>
      <c r="AM30" s="17" t="s">
        <v>69</v>
      </c>
      <c r="AN30" s="17" t="s">
        <v>69</v>
      </c>
      <c r="AO30" s="17" t="s">
        <v>69</v>
      </c>
      <c r="AP30" s="17" t="s">
        <v>69</v>
      </c>
      <c r="AQ30" s="17" t="s">
        <v>69</v>
      </c>
      <c r="AR30" s="17" t="s">
        <v>69</v>
      </c>
      <c r="AS30" s="17" t="s">
        <v>69</v>
      </c>
      <c r="AT30" s="17" t="s">
        <v>69</v>
      </c>
      <c r="AU30" s="17" t="s">
        <v>69</v>
      </c>
      <c r="AV30" s="17" t="s">
        <v>69</v>
      </c>
      <c r="AW30" s="17" t="s">
        <v>69</v>
      </c>
    </row>
    <row r="31" spans="1:49">
      <c r="A31" s="10">
        <v>24</v>
      </c>
      <c r="B31" s="23">
        <v>44600</v>
      </c>
      <c r="C31" s="23">
        <v>44600</v>
      </c>
      <c r="D31" s="21">
        <v>38.5</v>
      </c>
      <c r="E31" s="18">
        <v>0</v>
      </c>
      <c r="F31" s="18" t="s">
        <v>60</v>
      </c>
      <c r="G31" s="18" t="s">
        <v>60</v>
      </c>
      <c r="H31" s="18" t="s">
        <v>60</v>
      </c>
      <c r="I31" s="14">
        <f t="shared" si="0"/>
        <v>0</v>
      </c>
      <c r="J31" s="12">
        <v>1</v>
      </c>
      <c r="K31" s="11">
        <v>0</v>
      </c>
      <c r="L31" s="12">
        <v>0</v>
      </c>
      <c r="M31" s="11" t="s">
        <v>61</v>
      </c>
      <c r="N31" s="11">
        <v>0</v>
      </c>
      <c r="O31" s="13" t="s">
        <v>61</v>
      </c>
      <c r="P31" s="12">
        <v>1</v>
      </c>
      <c r="Q31" s="14" t="s">
        <v>115</v>
      </c>
      <c r="R31" s="12">
        <v>6</v>
      </c>
      <c r="S31" s="12">
        <v>1</v>
      </c>
      <c r="T31" s="12" t="s">
        <v>95</v>
      </c>
      <c r="U31" s="12" t="s">
        <v>61</v>
      </c>
      <c r="V31" s="15" t="s">
        <v>125</v>
      </c>
      <c r="W31" s="13">
        <v>100</v>
      </c>
      <c r="X31" s="13">
        <v>2</v>
      </c>
      <c r="Y31" s="13">
        <v>1</v>
      </c>
      <c r="Z31" s="13">
        <v>1</v>
      </c>
      <c r="AA31" s="11">
        <v>5.5</v>
      </c>
      <c r="AB31" s="16" t="s">
        <v>126</v>
      </c>
      <c r="AC31" s="13">
        <v>1</v>
      </c>
      <c r="AD31" s="13">
        <v>0</v>
      </c>
      <c r="AE31" s="13" t="s">
        <v>61</v>
      </c>
      <c r="AF31" s="30" t="s">
        <v>127</v>
      </c>
      <c r="AG31" s="12">
        <v>1</v>
      </c>
      <c r="AH31" s="16" t="s">
        <v>128</v>
      </c>
      <c r="AI31" s="17" t="s">
        <v>69</v>
      </c>
      <c r="AJ31" s="17" t="s">
        <v>69</v>
      </c>
      <c r="AK31" s="17" t="s">
        <v>69</v>
      </c>
      <c r="AL31" s="17" t="s">
        <v>69</v>
      </c>
      <c r="AM31" s="17" t="s">
        <v>69</v>
      </c>
      <c r="AN31" s="17" t="s">
        <v>69</v>
      </c>
      <c r="AO31" s="17" t="s">
        <v>61</v>
      </c>
      <c r="AP31" s="17" t="s">
        <v>61</v>
      </c>
      <c r="AQ31" s="17" t="s">
        <v>69</v>
      </c>
      <c r="AR31" s="17" t="s">
        <v>69</v>
      </c>
      <c r="AS31" s="17" t="s">
        <v>69</v>
      </c>
      <c r="AT31" s="17" t="s">
        <v>69</v>
      </c>
      <c r="AU31" s="17" t="s">
        <v>69</v>
      </c>
      <c r="AV31" s="17" t="s">
        <v>69</v>
      </c>
      <c r="AW31" s="17" t="s">
        <v>69</v>
      </c>
    </row>
    <row r="32" spans="1:49" ht="23.25">
      <c r="A32" s="10">
        <v>25</v>
      </c>
      <c r="B32" s="23">
        <v>44621</v>
      </c>
      <c r="C32" s="23">
        <v>44621</v>
      </c>
      <c r="D32" s="21">
        <v>36</v>
      </c>
      <c r="E32" s="18">
        <v>1</v>
      </c>
      <c r="F32" s="18">
        <v>0</v>
      </c>
      <c r="G32" s="18" t="s">
        <v>60</v>
      </c>
      <c r="H32" s="18" t="s">
        <v>60</v>
      </c>
      <c r="I32" s="14">
        <f t="shared" si="0"/>
        <v>0</v>
      </c>
      <c r="J32" s="12">
        <v>1</v>
      </c>
      <c r="K32" s="11">
        <v>100</v>
      </c>
      <c r="L32" s="12">
        <v>0</v>
      </c>
      <c r="M32" s="11" t="s">
        <v>79</v>
      </c>
      <c r="N32" s="11">
        <v>1</v>
      </c>
      <c r="O32" s="13">
        <v>1</v>
      </c>
      <c r="P32" s="12">
        <v>1</v>
      </c>
      <c r="Q32" s="14" t="s">
        <v>115</v>
      </c>
      <c r="R32" s="12">
        <v>4</v>
      </c>
      <c r="S32" s="12">
        <v>1</v>
      </c>
      <c r="T32" s="12" t="s">
        <v>95</v>
      </c>
      <c r="U32" s="12" t="s">
        <v>61</v>
      </c>
      <c r="V32" s="28" t="s">
        <v>129</v>
      </c>
      <c r="W32" s="13">
        <v>100</v>
      </c>
      <c r="X32" s="13">
        <v>2</v>
      </c>
      <c r="Y32" s="13">
        <v>1</v>
      </c>
      <c r="Z32" s="13">
        <v>1</v>
      </c>
      <c r="AA32" s="11">
        <v>3.5</v>
      </c>
      <c r="AB32" s="16" t="s">
        <v>130</v>
      </c>
      <c r="AC32" s="24">
        <v>1</v>
      </c>
      <c r="AD32" s="13">
        <v>0</v>
      </c>
      <c r="AE32" s="13">
        <v>0</v>
      </c>
      <c r="AF32" s="25" t="s">
        <v>131</v>
      </c>
      <c r="AG32" s="12">
        <v>1</v>
      </c>
      <c r="AH32" s="25" t="s">
        <v>132</v>
      </c>
      <c r="AI32" s="17" t="s">
        <v>69</v>
      </c>
      <c r="AJ32" s="17" t="s">
        <v>69</v>
      </c>
      <c r="AK32" s="17" t="s">
        <v>69</v>
      </c>
      <c r="AL32" s="17" t="s">
        <v>69</v>
      </c>
      <c r="AM32" s="17" t="s">
        <v>69</v>
      </c>
      <c r="AN32" s="17" t="s">
        <v>65</v>
      </c>
      <c r="AO32" s="17" t="s">
        <v>61</v>
      </c>
      <c r="AP32" s="17" t="s">
        <v>61</v>
      </c>
      <c r="AQ32" s="17" t="s">
        <v>69</v>
      </c>
      <c r="AR32" s="17" t="s">
        <v>69</v>
      </c>
      <c r="AS32" s="17" t="s">
        <v>69</v>
      </c>
      <c r="AT32" s="17" t="s">
        <v>61</v>
      </c>
      <c r="AU32" s="17" t="s">
        <v>61</v>
      </c>
      <c r="AV32" s="17" t="s">
        <v>69</v>
      </c>
      <c r="AW32" s="17" t="s">
        <v>61</v>
      </c>
    </row>
    <row r="33" spans="1:49" ht="24">
      <c r="A33" s="10">
        <v>26</v>
      </c>
      <c r="B33" s="23">
        <v>44629</v>
      </c>
      <c r="C33" s="23">
        <v>44631</v>
      </c>
      <c r="D33" s="21">
        <v>38</v>
      </c>
      <c r="E33" s="18">
        <v>1</v>
      </c>
      <c r="F33" s="18">
        <v>1</v>
      </c>
      <c r="G33" s="18">
        <v>1</v>
      </c>
      <c r="H33" s="18">
        <v>1</v>
      </c>
      <c r="I33" s="14">
        <f t="shared" si="0"/>
        <v>1</v>
      </c>
      <c r="J33" s="12">
        <v>0</v>
      </c>
      <c r="K33" s="11">
        <v>100</v>
      </c>
      <c r="L33" s="12">
        <v>0</v>
      </c>
      <c r="M33" s="11" t="s">
        <v>79</v>
      </c>
      <c r="N33" s="11">
        <v>1</v>
      </c>
      <c r="O33" s="13">
        <v>1</v>
      </c>
      <c r="P33" s="12">
        <v>1</v>
      </c>
      <c r="Q33" s="14" t="s">
        <v>115</v>
      </c>
      <c r="R33" s="12">
        <v>4</v>
      </c>
      <c r="S33" s="12">
        <v>1</v>
      </c>
      <c r="T33" s="12" t="s">
        <v>95</v>
      </c>
      <c r="U33" s="12" t="s">
        <v>61</v>
      </c>
      <c r="V33" s="28" t="s">
        <v>133</v>
      </c>
      <c r="W33" s="13">
        <v>100</v>
      </c>
      <c r="X33" s="13">
        <v>7</v>
      </c>
      <c r="Y33" s="13">
        <v>0</v>
      </c>
      <c r="Z33" s="13" t="s">
        <v>61</v>
      </c>
      <c r="AA33" s="11" t="s">
        <v>61</v>
      </c>
      <c r="AB33" s="16" t="s">
        <v>61</v>
      </c>
      <c r="AC33" s="13">
        <v>1</v>
      </c>
      <c r="AD33" s="13">
        <v>1</v>
      </c>
      <c r="AE33" s="24">
        <v>1</v>
      </c>
      <c r="AF33" s="25" t="s">
        <v>134</v>
      </c>
      <c r="AG33" s="12">
        <v>1</v>
      </c>
      <c r="AH33" s="25" t="s">
        <v>135</v>
      </c>
      <c r="AI33" s="17" t="s">
        <v>69</v>
      </c>
      <c r="AJ33" s="17" t="s">
        <v>69</v>
      </c>
      <c r="AK33" s="17" t="s">
        <v>69</v>
      </c>
      <c r="AL33" s="17" t="s">
        <v>69</v>
      </c>
      <c r="AM33" s="17" t="s">
        <v>69</v>
      </c>
      <c r="AN33" s="17" t="s">
        <v>65</v>
      </c>
      <c r="AO33" s="17" t="s">
        <v>69</v>
      </c>
      <c r="AP33" s="17" t="s">
        <v>69</v>
      </c>
      <c r="AQ33" s="17" t="s">
        <v>69</v>
      </c>
      <c r="AR33" s="17" t="s">
        <v>69</v>
      </c>
      <c r="AS33" s="17" t="s">
        <v>69</v>
      </c>
      <c r="AT33" s="17" t="s">
        <v>69</v>
      </c>
      <c r="AU33" s="17" t="s">
        <v>69</v>
      </c>
      <c r="AV33" s="17" t="s">
        <v>69</v>
      </c>
      <c r="AW33" s="17" t="s">
        <v>69</v>
      </c>
    </row>
    <row r="34" spans="1:49" ht="24">
      <c r="A34" s="10">
        <v>27</v>
      </c>
      <c r="B34" s="23">
        <v>44635</v>
      </c>
      <c r="C34" s="23">
        <v>44637</v>
      </c>
      <c r="D34" s="21">
        <v>38</v>
      </c>
      <c r="E34" s="18">
        <v>1</v>
      </c>
      <c r="F34" s="18">
        <v>1</v>
      </c>
      <c r="G34" s="18">
        <v>1</v>
      </c>
      <c r="H34" s="18">
        <v>1</v>
      </c>
      <c r="I34" s="14">
        <f t="shared" si="0"/>
        <v>1</v>
      </c>
      <c r="J34" s="12">
        <v>0</v>
      </c>
      <c r="K34" s="11">
        <v>0</v>
      </c>
      <c r="L34" s="12">
        <v>0</v>
      </c>
      <c r="M34" s="11" t="s">
        <v>61</v>
      </c>
      <c r="N34" s="11">
        <v>0</v>
      </c>
      <c r="O34" s="13">
        <v>1</v>
      </c>
      <c r="P34" s="12">
        <v>1</v>
      </c>
      <c r="Q34" s="14" t="s">
        <v>115</v>
      </c>
      <c r="R34" s="12">
        <v>4</v>
      </c>
      <c r="S34" s="12">
        <v>1</v>
      </c>
      <c r="T34" s="12" t="s">
        <v>95</v>
      </c>
      <c r="U34" s="12" t="s">
        <v>61</v>
      </c>
      <c r="W34" s="13">
        <v>100</v>
      </c>
      <c r="X34" s="13">
        <v>7</v>
      </c>
      <c r="Y34" s="13">
        <v>0</v>
      </c>
      <c r="Z34" s="13" t="s">
        <v>61</v>
      </c>
      <c r="AA34" s="11" t="s">
        <v>61</v>
      </c>
      <c r="AB34" s="16" t="s">
        <v>61</v>
      </c>
      <c r="AC34" s="13">
        <v>1</v>
      </c>
      <c r="AD34" s="13">
        <v>1</v>
      </c>
      <c r="AE34" s="13">
        <v>1</v>
      </c>
      <c r="AG34" s="12">
        <v>1</v>
      </c>
      <c r="AH34" s="16" t="s">
        <v>136</v>
      </c>
      <c r="AI34" s="17" t="s">
        <v>69</v>
      </c>
      <c r="AJ34" s="17" t="s">
        <v>69</v>
      </c>
      <c r="AK34" s="17" t="s">
        <v>69</v>
      </c>
      <c r="AL34" s="17" t="s">
        <v>69</v>
      </c>
      <c r="AM34" s="17" t="s">
        <v>69</v>
      </c>
      <c r="AN34" s="17" t="s">
        <v>65</v>
      </c>
      <c r="AO34" s="17" t="s">
        <v>69</v>
      </c>
      <c r="AP34" s="17" t="s">
        <v>69</v>
      </c>
      <c r="AQ34" s="17" t="s">
        <v>69</v>
      </c>
      <c r="AR34" s="17" t="s">
        <v>69</v>
      </c>
      <c r="AS34" s="17" t="s">
        <v>69</v>
      </c>
      <c r="AT34" s="17" t="s">
        <v>69</v>
      </c>
      <c r="AU34" s="17" t="s">
        <v>69</v>
      </c>
      <c r="AV34" s="17" t="s">
        <v>69</v>
      </c>
      <c r="AW34" s="17" t="s">
        <v>69</v>
      </c>
    </row>
    <row r="35" spans="1:49">
      <c r="A35" s="10">
        <v>28</v>
      </c>
      <c r="B35" s="23">
        <v>44642</v>
      </c>
      <c r="C35" s="23">
        <v>44644</v>
      </c>
      <c r="D35" s="21">
        <v>40.799999999999997</v>
      </c>
      <c r="E35" s="18">
        <v>1</v>
      </c>
      <c r="F35" s="18">
        <v>1</v>
      </c>
      <c r="G35" s="18">
        <v>1</v>
      </c>
      <c r="H35" s="18">
        <v>1</v>
      </c>
      <c r="I35" s="14">
        <f t="shared" si="0"/>
        <v>1</v>
      </c>
      <c r="J35" s="12">
        <v>0</v>
      </c>
      <c r="K35" s="11">
        <v>100</v>
      </c>
      <c r="L35" s="12">
        <v>0</v>
      </c>
      <c r="M35" s="11" t="s">
        <v>79</v>
      </c>
      <c r="N35" s="11">
        <v>0</v>
      </c>
      <c r="O35" s="13">
        <v>1</v>
      </c>
      <c r="P35" s="12">
        <v>1</v>
      </c>
      <c r="Q35" s="14" t="s">
        <v>115</v>
      </c>
      <c r="R35" s="12">
        <v>4</v>
      </c>
      <c r="S35" s="12">
        <v>1</v>
      </c>
      <c r="T35" s="12" t="s">
        <v>95</v>
      </c>
      <c r="U35" s="12" t="s">
        <v>61</v>
      </c>
      <c r="W35" s="13">
        <v>100</v>
      </c>
      <c r="X35" s="13">
        <v>7</v>
      </c>
      <c r="Y35" s="13">
        <v>0</v>
      </c>
      <c r="Z35" s="13" t="s">
        <v>61</v>
      </c>
      <c r="AA35" s="11" t="s">
        <v>61</v>
      </c>
      <c r="AB35" s="16" t="s">
        <v>61</v>
      </c>
      <c r="AC35" s="13">
        <v>1</v>
      </c>
      <c r="AD35" s="13">
        <v>1</v>
      </c>
      <c r="AE35" s="13">
        <v>1</v>
      </c>
      <c r="AH35" s="16" t="s">
        <v>137</v>
      </c>
      <c r="AI35" s="17" t="s">
        <v>69</v>
      </c>
      <c r="AJ35" s="17" t="s">
        <v>69</v>
      </c>
      <c r="AK35" s="17" t="s">
        <v>69</v>
      </c>
      <c r="AL35" s="17" t="s">
        <v>69</v>
      </c>
      <c r="AM35" s="17" t="s">
        <v>69</v>
      </c>
      <c r="AN35" s="17" t="s">
        <v>65</v>
      </c>
      <c r="AO35" s="17" t="s">
        <v>69</v>
      </c>
      <c r="AP35" s="17" t="s">
        <v>69</v>
      </c>
      <c r="AQ35" s="17" t="s">
        <v>69</v>
      </c>
      <c r="AR35" s="17" t="s">
        <v>69</v>
      </c>
      <c r="AS35" s="17" t="s">
        <v>69</v>
      </c>
      <c r="AT35" s="17" t="s">
        <v>69</v>
      </c>
      <c r="AU35" s="17" t="s">
        <v>69</v>
      </c>
      <c r="AV35" s="17" t="s">
        <v>69</v>
      </c>
      <c r="AW35" s="17" t="s">
        <v>69</v>
      </c>
    </row>
    <row r="36" spans="1:49">
      <c r="A36" s="10">
        <v>29</v>
      </c>
      <c r="B36" s="23">
        <v>44670</v>
      </c>
      <c r="C36" s="23">
        <v>44671</v>
      </c>
      <c r="D36" s="21">
        <v>42</v>
      </c>
      <c r="E36" s="18">
        <v>1</v>
      </c>
      <c r="F36" s="18">
        <v>1</v>
      </c>
      <c r="G36" s="18">
        <v>1</v>
      </c>
      <c r="H36" s="18">
        <v>1</v>
      </c>
      <c r="I36" s="14">
        <f t="shared" si="0"/>
        <v>1</v>
      </c>
      <c r="J36" s="12">
        <v>0</v>
      </c>
      <c r="K36" s="11">
        <v>0</v>
      </c>
      <c r="L36" s="12">
        <v>0</v>
      </c>
      <c r="M36" s="11" t="s">
        <v>61</v>
      </c>
      <c r="N36" s="11">
        <v>0</v>
      </c>
      <c r="O36" s="13">
        <v>1</v>
      </c>
      <c r="P36" s="12">
        <v>1</v>
      </c>
      <c r="Q36" s="14" t="s">
        <v>115</v>
      </c>
      <c r="R36" s="12">
        <v>4</v>
      </c>
      <c r="S36" s="12">
        <v>1</v>
      </c>
      <c r="T36" s="12" t="s">
        <v>95</v>
      </c>
      <c r="U36" s="12" t="s">
        <v>61</v>
      </c>
      <c r="V36" s="15" t="s">
        <v>138</v>
      </c>
      <c r="W36" s="13">
        <v>100</v>
      </c>
      <c r="X36" s="13">
        <v>6</v>
      </c>
      <c r="Y36" s="13">
        <v>1</v>
      </c>
      <c r="Z36" s="13">
        <v>1</v>
      </c>
      <c r="AA36" s="11">
        <v>31.5</v>
      </c>
      <c r="AC36" s="13">
        <v>1</v>
      </c>
      <c r="AD36" s="13">
        <v>1</v>
      </c>
      <c r="AE36" s="13">
        <v>0</v>
      </c>
      <c r="AG36" s="12">
        <v>1</v>
      </c>
      <c r="AH36" s="16" t="s">
        <v>139</v>
      </c>
      <c r="AI36" s="17" t="s">
        <v>69</v>
      </c>
      <c r="AJ36" s="17" t="s">
        <v>69</v>
      </c>
      <c r="AK36" s="17" t="s">
        <v>69</v>
      </c>
      <c r="AL36" s="17" t="s">
        <v>69</v>
      </c>
      <c r="AM36" s="17" t="s">
        <v>69</v>
      </c>
      <c r="AN36" s="17" t="s">
        <v>65</v>
      </c>
      <c r="AO36" s="17" t="s">
        <v>69</v>
      </c>
      <c r="AP36" s="17" t="s">
        <v>69</v>
      </c>
      <c r="AQ36" s="17" t="s">
        <v>69</v>
      </c>
      <c r="AR36" s="17" t="s">
        <v>69</v>
      </c>
      <c r="AS36" s="17" t="s">
        <v>69</v>
      </c>
      <c r="AT36" s="17" t="s">
        <v>69</v>
      </c>
      <c r="AU36" s="17" t="s">
        <v>69</v>
      </c>
      <c r="AV36" s="17" t="s">
        <v>69</v>
      </c>
      <c r="AW36" s="17" t="s">
        <v>69</v>
      </c>
    </row>
    <row r="37" spans="1:49">
      <c r="A37" s="10">
        <v>30</v>
      </c>
      <c r="B37" s="23">
        <v>44677</v>
      </c>
      <c r="C37" s="23">
        <v>44679</v>
      </c>
      <c r="D37" s="21">
        <v>44</v>
      </c>
      <c r="E37" s="18">
        <v>1</v>
      </c>
      <c r="F37" s="18">
        <v>1</v>
      </c>
      <c r="G37" s="18">
        <v>1</v>
      </c>
      <c r="H37" s="18">
        <v>1</v>
      </c>
      <c r="I37" s="14">
        <f t="shared" si="0"/>
        <v>1</v>
      </c>
      <c r="J37" s="12">
        <v>0</v>
      </c>
      <c r="K37" s="11">
        <v>100</v>
      </c>
      <c r="L37" s="12">
        <v>0</v>
      </c>
      <c r="M37" s="11" t="s">
        <v>79</v>
      </c>
      <c r="N37" s="11">
        <v>0</v>
      </c>
      <c r="O37" s="13">
        <v>1</v>
      </c>
      <c r="P37" s="12">
        <v>1</v>
      </c>
      <c r="Q37" s="14" t="s">
        <v>115</v>
      </c>
      <c r="R37" s="12">
        <v>4</v>
      </c>
      <c r="S37" s="12">
        <v>1</v>
      </c>
      <c r="T37" s="12" t="s">
        <v>95</v>
      </c>
      <c r="U37" s="12" t="s">
        <v>61</v>
      </c>
      <c r="W37" s="13">
        <v>100</v>
      </c>
      <c r="X37" s="13">
        <v>7</v>
      </c>
      <c r="Y37" s="13">
        <v>0</v>
      </c>
      <c r="Z37" s="13" t="s">
        <v>61</v>
      </c>
      <c r="AA37" s="11" t="s">
        <v>61</v>
      </c>
      <c r="AB37" s="16" t="s">
        <v>61</v>
      </c>
      <c r="AC37" s="13">
        <v>1</v>
      </c>
      <c r="AD37" s="13">
        <v>1</v>
      </c>
      <c r="AE37" s="13">
        <v>1</v>
      </c>
      <c r="AG37" s="12">
        <v>1</v>
      </c>
      <c r="AH37" s="16" t="s">
        <v>140</v>
      </c>
      <c r="AI37" s="17" t="s">
        <v>69</v>
      </c>
      <c r="AJ37" s="17" t="s">
        <v>69</v>
      </c>
      <c r="AK37" s="17" t="s">
        <v>69</v>
      </c>
      <c r="AL37" s="17" t="s">
        <v>69</v>
      </c>
      <c r="AM37" s="17" t="s">
        <v>69</v>
      </c>
      <c r="AN37" s="17" t="s">
        <v>141</v>
      </c>
      <c r="AO37" s="17" t="s">
        <v>69</v>
      </c>
      <c r="AP37" s="17" t="s">
        <v>69</v>
      </c>
      <c r="AQ37" s="17" t="s">
        <v>69</v>
      </c>
      <c r="AR37" s="17" t="s">
        <v>69</v>
      </c>
      <c r="AS37" s="17" t="s">
        <v>69</v>
      </c>
      <c r="AT37" s="17" t="s">
        <v>69</v>
      </c>
      <c r="AU37" s="17" t="s">
        <v>69</v>
      </c>
      <c r="AV37" s="17" t="s">
        <v>69</v>
      </c>
      <c r="AW37" s="17" t="s">
        <v>69</v>
      </c>
    </row>
    <row r="38" spans="1:49">
      <c r="A38" s="10">
        <v>31</v>
      </c>
      <c r="B38" s="23">
        <v>44684</v>
      </c>
      <c r="C38" s="23">
        <v>44686</v>
      </c>
      <c r="D38" s="21">
        <v>44</v>
      </c>
      <c r="E38" s="18">
        <v>1</v>
      </c>
      <c r="F38" s="18">
        <v>1</v>
      </c>
      <c r="G38" s="18">
        <v>1</v>
      </c>
      <c r="H38" s="18">
        <v>1</v>
      </c>
      <c r="I38" s="14">
        <f t="shared" si="0"/>
        <v>1</v>
      </c>
      <c r="J38" s="12">
        <v>0</v>
      </c>
      <c r="K38" s="11">
        <v>100</v>
      </c>
      <c r="L38" s="12">
        <v>0</v>
      </c>
      <c r="M38" s="11" t="s">
        <v>79</v>
      </c>
      <c r="N38" s="11">
        <v>1</v>
      </c>
      <c r="O38" s="13">
        <v>1</v>
      </c>
      <c r="P38" s="12">
        <v>1</v>
      </c>
      <c r="Q38" s="14" t="s">
        <v>115</v>
      </c>
      <c r="R38" s="12">
        <v>4</v>
      </c>
      <c r="S38" s="12">
        <v>1</v>
      </c>
      <c r="T38" s="12" t="s">
        <v>95</v>
      </c>
      <c r="U38" s="12" t="s">
        <v>61</v>
      </c>
      <c r="V38" s="15" t="s">
        <v>142</v>
      </c>
      <c r="W38" s="13">
        <v>100</v>
      </c>
      <c r="X38" s="13">
        <v>7</v>
      </c>
      <c r="Y38" s="13">
        <v>0</v>
      </c>
      <c r="Z38" s="13" t="s">
        <v>61</v>
      </c>
      <c r="AA38" s="11" t="s">
        <v>61</v>
      </c>
      <c r="AB38" s="16" t="s">
        <v>61</v>
      </c>
      <c r="AC38" s="13">
        <v>1</v>
      </c>
      <c r="AD38" s="13">
        <v>1</v>
      </c>
      <c r="AE38" s="13">
        <v>1</v>
      </c>
      <c r="AG38" s="12">
        <v>1</v>
      </c>
      <c r="AI38" s="17" t="s">
        <v>69</v>
      </c>
      <c r="AJ38" s="17" t="s">
        <v>69</v>
      </c>
      <c r="AK38" s="17" t="s">
        <v>122</v>
      </c>
      <c r="AL38" s="17" t="s">
        <v>69</v>
      </c>
      <c r="AM38" s="17" t="s">
        <v>69</v>
      </c>
      <c r="AN38" s="17" t="s">
        <v>65</v>
      </c>
      <c r="AO38" s="17" t="s">
        <v>69</v>
      </c>
      <c r="AP38" s="17" t="s">
        <v>69</v>
      </c>
      <c r="AQ38" s="17" t="s">
        <v>69</v>
      </c>
      <c r="AR38" s="17" t="s">
        <v>69</v>
      </c>
      <c r="AS38" s="17" t="s">
        <v>69</v>
      </c>
      <c r="AT38" s="17" t="s">
        <v>69</v>
      </c>
      <c r="AU38" s="17" t="s">
        <v>69</v>
      </c>
      <c r="AV38" s="17" t="s">
        <v>69</v>
      </c>
      <c r="AW38" s="17" t="s">
        <v>69</v>
      </c>
    </row>
    <row r="39" spans="1:49">
      <c r="A39" s="10">
        <v>32</v>
      </c>
      <c r="B39" s="23">
        <v>44691</v>
      </c>
      <c r="C39" s="23">
        <v>44691</v>
      </c>
      <c r="D39" s="21">
        <v>52.5</v>
      </c>
      <c r="E39" s="18">
        <v>0</v>
      </c>
      <c r="F39" s="18" t="s">
        <v>60</v>
      </c>
      <c r="G39" s="18" t="s">
        <v>60</v>
      </c>
      <c r="H39" s="18" t="s">
        <v>60</v>
      </c>
      <c r="I39" s="14">
        <f t="shared" si="0"/>
        <v>0</v>
      </c>
      <c r="J39" s="12">
        <v>1</v>
      </c>
      <c r="K39" s="31" t="s">
        <v>61</v>
      </c>
      <c r="L39" s="12">
        <v>0</v>
      </c>
      <c r="M39" s="11" t="s">
        <v>61</v>
      </c>
      <c r="N39" s="31" t="s">
        <v>61</v>
      </c>
      <c r="O39" s="13" t="s">
        <v>61</v>
      </c>
      <c r="P39" s="12" t="s">
        <v>61</v>
      </c>
      <c r="Q39" s="14" t="s">
        <v>61</v>
      </c>
      <c r="R39" s="12" t="s">
        <v>61</v>
      </c>
      <c r="S39" s="12" t="s">
        <v>61</v>
      </c>
      <c r="T39" s="12" t="s">
        <v>95</v>
      </c>
      <c r="U39" s="12" t="s">
        <v>61</v>
      </c>
      <c r="V39" s="15" t="s">
        <v>143</v>
      </c>
      <c r="W39" s="13" t="s">
        <v>61</v>
      </c>
      <c r="X39" s="13" t="s">
        <v>61</v>
      </c>
      <c r="Y39" s="13" t="s">
        <v>61</v>
      </c>
      <c r="Z39" s="13" t="s">
        <v>61</v>
      </c>
      <c r="AA39" s="11" t="s">
        <v>61</v>
      </c>
      <c r="AB39" s="16" t="s">
        <v>61</v>
      </c>
      <c r="AC39" s="13" t="s">
        <v>61</v>
      </c>
      <c r="AD39" s="13" t="s">
        <v>61</v>
      </c>
      <c r="AE39" s="13" t="s">
        <v>61</v>
      </c>
      <c r="AF39" s="16" t="s">
        <v>61</v>
      </c>
      <c r="AG39" s="12">
        <v>0</v>
      </c>
      <c r="AH39" s="16" t="s">
        <v>61</v>
      </c>
      <c r="AI39" s="17" t="s">
        <v>61</v>
      </c>
      <c r="AJ39" s="17" t="s">
        <v>61</v>
      </c>
      <c r="AK39" s="17" t="s">
        <v>61</v>
      </c>
      <c r="AL39" s="17" t="s">
        <v>61</v>
      </c>
      <c r="AM39" s="17" t="s">
        <v>61</v>
      </c>
      <c r="AN39" s="17" t="s">
        <v>61</v>
      </c>
      <c r="AO39" s="17" t="s">
        <v>61</v>
      </c>
      <c r="AP39" s="17" t="s">
        <v>61</v>
      </c>
      <c r="AQ39" s="17" t="s">
        <v>61</v>
      </c>
      <c r="AR39" s="17" t="s">
        <v>61</v>
      </c>
      <c r="AS39" s="17" t="s">
        <v>61</v>
      </c>
      <c r="AT39" s="17" t="s">
        <v>61</v>
      </c>
      <c r="AU39" s="17" t="s">
        <v>61</v>
      </c>
      <c r="AV39" s="17" t="s">
        <v>61</v>
      </c>
      <c r="AW39" s="17" t="s">
        <v>61</v>
      </c>
    </row>
    <row r="40" spans="1:49">
      <c r="A40" s="10">
        <v>33</v>
      </c>
      <c r="B40" s="23">
        <v>44719</v>
      </c>
      <c r="C40" s="23">
        <v>44721</v>
      </c>
      <c r="D40" s="21">
        <v>43.5</v>
      </c>
      <c r="E40" s="18">
        <v>1</v>
      </c>
      <c r="F40" s="18">
        <v>1</v>
      </c>
      <c r="G40" s="18">
        <v>1</v>
      </c>
      <c r="H40" s="18">
        <v>1</v>
      </c>
      <c r="I40" s="14">
        <f>IF(AND(E40 &gt; 0, AND(F40 &gt; 0, AND(G40 &gt; 0, H40 &gt; 0))),1,0)</f>
        <v>1</v>
      </c>
      <c r="J40" s="12">
        <v>0</v>
      </c>
      <c r="K40" s="11">
        <v>100</v>
      </c>
      <c r="L40" s="12">
        <v>0</v>
      </c>
      <c r="M40" s="11" t="s">
        <v>79</v>
      </c>
      <c r="N40" s="11">
        <v>0</v>
      </c>
      <c r="O40" s="13">
        <v>1</v>
      </c>
      <c r="P40" s="12">
        <v>1</v>
      </c>
      <c r="Q40" s="14" t="s">
        <v>115</v>
      </c>
      <c r="R40" s="12">
        <v>4</v>
      </c>
      <c r="S40" s="12">
        <v>1</v>
      </c>
      <c r="T40" s="12" t="s">
        <v>95</v>
      </c>
      <c r="U40" s="12" t="s">
        <v>61</v>
      </c>
      <c r="W40" s="13">
        <v>100</v>
      </c>
      <c r="X40" s="13">
        <v>7</v>
      </c>
      <c r="Y40" s="13">
        <v>0</v>
      </c>
      <c r="Z40" s="13" t="s">
        <v>61</v>
      </c>
      <c r="AA40" s="11" t="s">
        <v>61</v>
      </c>
      <c r="AB40" s="16" t="s">
        <v>61</v>
      </c>
      <c r="AC40" s="13">
        <v>1</v>
      </c>
      <c r="AD40" s="13">
        <v>1</v>
      </c>
      <c r="AE40" s="13">
        <v>1</v>
      </c>
      <c r="AG40" s="12">
        <v>1</v>
      </c>
      <c r="AI40" s="17" t="s">
        <v>69</v>
      </c>
      <c r="AJ40" s="17" t="s">
        <v>69</v>
      </c>
      <c r="AK40" s="17" t="s">
        <v>69</v>
      </c>
      <c r="AL40" s="17" t="s">
        <v>69</v>
      </c>
      <c r="AM40" s="17" t="s">
        <v>69</v>
      </c>
      <c r="AN40" s="17" t="s">
        <v>65</v>
      </c>
      <c r="AO40" s="17" t="s">
        <v>69</v>
      </c>
      <c r="AP40" s="17" t="s">
        <v>69</v>
      </c>
      <c r="AQ40" s="17" t="s">
        <v>69</v>
      </c>
      <c r="AR40" s="17" t="s">
        <v>122</v>
      </c>
      <c r="AS40" s="17" t="s">
        <v>69</v>
      </c>
      <c r="AT40" s="17" t="s">
        <v>69</v>
      </c>
      <c r="AU40" s="17" t="s">
        <v>69</v>
      </c>
      <c r="AV40" s="17" t="s">
        <v>69</v>
      </c>
      <c r="AW40" s="17" t="s">
        <v>69</v>
      </c>
    </row>
    <row r="41" spans="1:49">
      <c r="A41" s="10">
        <v>34</v>
      </c>
      <c r="B41" s="23">
        <v>44726</v>
      </c>
      <c r="C41" s="23">
        <v>44728</v>
      </c>
      <c r="D41" s="21">
        <v>46</v>
      </c>
      <c r="E41" s="18">
        <v>1</v>
      </c>
      <c r="F41" s="18">
        <v>1</v>
      </c>
      <c r="G41" s="18">
        <v>1</v>
      </c>
      <c r="H41" s="18">
        <v>1</v>
      </c>
      <c r="I41" s="14">
        <f t="shared" si="0"/>
        <v>1</v>
      </c>
      <c r="J41" s="12">
        <v>0</v>
      </c>
      <c r="K41" s="11">
        <v>0</v>
      </c>
      <c r="L41" s="12">
        <v>0</v>
      </c>
      <c r="M41" s="11" t="s">
        <v>61</v>
      </c>
      <c r="N41" s="11">
        <v>0</v>
      </c>
      <c r="O41" s="13">
        <v>1</v>
      </c>
      <c r="P41" s="12">
        <v>1</v>
      </c>
      <c r="Q41" s="14" t="s">
        <v>115</v>
      </c>
      <c r="R41" s="12">
        <v>4</v>
      </c>
      <c r="S41" s="12">
        <v>1</v>
      </c>
      <c r="T41" s="12" t="s">
        <v>95</v>
      </c>
      <c r="U41" s="12" t="s">
        <v>61</v>
      </c>
      <c r="W41" s="13">
        <v>100</v>
      </c>
      <c r="X41" s="13">
        <v>7</v>
      </c>
      <c r="Y41" s="13">
        <v>0</v>
      </c>
      <c r="Z41" s="13" t="s">
        <v>61</v>
      </c>
      <c r="AA41" s="11" t="s">
        <v>61</v>
      </c>
      <c r="AB41" s="16" t="s">
        <v>61</v>
      </c>
      <c r="AC41" s="13">
        <v>1</v>
      </c>
      <c r="AD41" s="13">
        <v>1</v>
      </c>
      <c r="AE41" s="13">
        <v>1</v>
      </c>
      <c r="AG41" s="12">
        <v>1</v>
      </c>
      <c r="AI41" s="17" t="s">
        <v>69</v>
      </c>
      <c r="AJ41" s="17" t="s">
        <v>69</v>
      </c>
      <c r="AK41" s="17" t="s">
        <v>69</v>
      </c>
      <c r="AL41" s="17" t="s">
        <v>69</v>
      </c>
      <c r="AM41" s="17" t="s">
        <v>69</v>
      </c>
      <c r="AN41" s="17" t="s">
        <v>65</v>
      </c>
      <c r="AO41" s="17" t="s">
        <v>69</v>
      </c>
      <c r="AP41" s="17" t="s">
        <v>69</v>
      </c>
      <c r="AQ41" s="17" t="s">
        <v>69</v>
      </c>
      <c r="AR41" s="17" t="s">
        <v>65</v>
      </c>
      <c r="AS41" s="17" t="s">
        <v>69</v>
      </c>
      <c r="AT41" s="17" t="s">
        <v>69</v>
      </c>
      <c r="AU41" s="17" t="s">
        <v>69</v>
      </c>
      <c r="AV41" s="17" t="s">
        <v>69</v>
      </c>
      <c r="AW41" s="17" t="s">
        <v>69</v>
      </c>
    </row>
    <row r="42" spans="1:49">
      <c r="A42" s="10">
        <v>35</v>
      </c>
      <c r="B42" s="23">
        <v>44733</v>
      </c>
      <c r="C42" s="23">
        <v>44733</v>
      </c>
      <c r="D42" s="21">
        <v>51.5</v>
      </c>
      <c r="E42" s="18">
        <v>0</v>
      </c>
      <c r="F42" s="18" t="s">
        <v>60</v>
      </c>
      <c r="G42" s="18" t="s">
        <v>60</v>
      </c>
      <c r="H42" s="18" t="s">
        <v>60</v>
      </c>
      <c r="I42" s="14">
        <f t="shared" si="0"/>
        <v>0</v>
      </c>
      <c r="J42" s="12">
        <v>1</v>
      </c>
      <c r="K42" s="11" t="s">
        <v>61</v>
      </c>
      <c r="L42" s="12">
        <v>0</v>
      </c>
      <c r="M42" s="11" t="s">
        <v>61</v>
      </c>
      <c r="N42" s="11" t="s">
        <v>61</v>
      </c>
      <c r="O42" s="13" t="s">
        <v>61</v>
      </c>
      <c r="P42" s="12" t="s">
        <v>61</v>
      </c>
      <c r="Q42" s="14" t="s">
        <v>61</v>
      </c>
      <c r="R42" s="12" t="s">
        <v>61</v>
      </c>
      <c r="S42" s="12" t="s">
        <v>61</v>
      </c>
      <c r="T42" s="12" t="s">
        <v>95</v>
      </c>
      <c r="U42" s="12" t="s">
        <v>61</v>
      </c>
      <c r="V42" s="15" t="s">
        <v>143</v>
      </c>
      <c r="W42" s="13" t="s">
        <v>61</v>
      </c>
      <c r="X42" s="13" t="s">
        <v>61</v>
      </c>
      <c r="Y42" s="13" t="s">
        <v>61</v>
      </c>
      <c r="Z42" s="13" t="s">
        <v>61</v>
      </c>
      <c r="AA42" s="11" t="s">
        <v>61</v>
      </c>
      <c r="AB42" s="16" t="s">
        <v>61</v>
      </c>
      <c r="AC42" s="13" t="s">
        <v>61</v>
      </c>
      <c r="AD42" s="13" t="s">
        <v>61</v>
      </c>
      <c r="AE42" s="13" t="s">
        <v>61</v>
      </c>
      <c r="AF42" s="16" t="s">
        <v>61</v>
      </c>
      <c r="AG42" s="12">
        <v>0</v>
      </c>
      <c r="AH42" s="16" t="s">
        <v>61</v>
      </c>
      <c r="AI42" s="17" t="s">
        <v>61</v>
      </c>
      <c r="AJ42" s="17" t="s">
        <v>61</v>
      </c>
      <c r="AK42" s="17" t="s">
        <v>61</v>
      </c>
      <c r="AL42" s="17" t="s">
        <v>61</v>
      </c>
      <c r="AM42" s="17" t="s">
        <v>61</v>
      </c>
      <c r="AN42" s="17" t="s">
        <v>61</v>
      </c>
      <c r="AO42" s="17" t="s">
        <v>61</v>
      </c>
      <c r="AP42" s="17" t="s">
        <v>61</v>
      </c>
      <c r="AQ42" s="17" t="s">
        <v>61</v>
      </c>
      <c r="AR42" s="17" t="s">
        <v>61</v>
      </c>
      <c r="AS42" s="17" t="s">
        <v>61</v>
      </c>
      <c r="AT42" s="17" t="s">
        <v>61</v>
      </c>
      <c r="AU42" s="17" t="s">
        <v>61</v>
      </c>
      <c r="AV42" s="17" t="s">
        <v>61</v>
      </c>
      <c r="AW42" s="17" t="s">
        <v>61</v>
      </c>
    </row>
    <row r="43" spans="1:49">
      <c r="A43" s="10">
        <v>36</v>
      </c>
      <c r="B43" s="23">
        <v>44741</v>
      </c>
      <c r="C43" s="23">
        <v>44741</v>
      </c>
      <c r="D43" s="21" t="s">
        <v>61</v>
      </c>
      <c r="E43" s="18">
        <v>0</v>
      </c>
      <c r="F43" s="18" t="s">
        <v>60</v>
      </c>
      <c r="G43" s="18" t="s">
        <v>60</v>
      </c>
      <c r="H43" s="18" t="s">
        <v>60</v>
      </c>
      <c r="I43" s="14">
        <f t="shared" si="0"/>
        <v>0</v>
      </c>
      <c r="J43" s="12">
        <v>1</v>
      </c>
      <c r="K43" s="11" t="s">
        <v>61</v>
      </c>
      <c r="L43" s="12">
        <v>0</v>
      </c>
      <c r="M43" s="11" t="s">
        <v>61</v>
      </c>
      <c r="N43" s="11" t="s">
        <v>61</v>
      </c>
      <c r="O43" s="13" t="s">
        <v>61</v>
      </c>
      <c r="P43" s="12" t="s">
        <v>61</v>
      </c>
      <c r="Q43" s="14" t="s">
        <v>61</v>
      </c>
      <c r="R43" s="12" t="s">
        <v>61</v>
      </c>
      <c r="S43" s="12" t="s">
        <v>61</v>
      </c>
      <c r="T43" s="12" t="s">
        <v>144</v>
      </c>
      <c r="U43" s="12" t="s">
        <v>61</v>
      </c>
      <c r="V43" s="15" t="s">
        <v>145</v>
      </c>
      <c r="W43" s="13" t="s">
        <v>61</v>
      </c>
      <c r="X43" s="13" t="s">
        <v>61</v>
      </c>
      <c r="Y43" s="13" t="s">
        <v>61</v>
      </c>
      <c r="Z43" s="13" t="s">
        <v>61</v>
      </c>
      <c r="AA43" s="11" t="s">
        <v>61</v>
      </c>
      <c r="AB43" s="16" t="s">
        <v>61</v>
      </c>
      <c r="AC43" s="13" t="s">
        <v>61</v>
      </c>
      <c r="AD43" s="13" t="s">
        <v>61</v>
      </c>
      <c r="AE43" s="13" t="s">
        <v>61</v>
      </c>
      <c r="AF43" s="16" t="s">
        <v>61</v>
      </c>
      <c r="AG43" s="12">
        <v>0</v>
      </c>
      <c r="AH43" s="16" t="s">
        <v>61</v>
      </c>
      <c r="AI43" s="17" t="s">
        <v>61</v>
      </c>
      <c r="AJ43" s="17" t="s">
        <v>61</v>
      </c>
      <c r="AK43" s="17" t="s">
        <v>61</v>
      </c>
      <c r="AL43" s="17" t="s">
        <v>61</v>
      </c>
      <c r="AM43" s="17" t="s">
        <v>61</v>
      </c>
      <c r="AN43" s="17" t="s">
        <v>61</v>
      </c>
      <c r="AO43" s="17" t="s">
        <v>61</v>
      </c>
      <c r="AP43" s="17" t="s">
        <v>61</v>
      </c>
      <c r="AQ43" s="17" t="s">
        <v>61</v>
      </c>
      <c r="AR43" s="17" t="s">
        <v>61</v>
      </c>
      <c r="AS43" s="17" t="s">
        <v>61</v>
      </c>
      <c r="AT43" s="17" t="s">
        <v>61</v>
      </c>
      <c r="AU43" s="17" t="s">
        <v>61</v>
      </c>
      <c r="AV43" s="17" t="s">
        <v>61</v>
      </c>
      <c r="AW43" s="17" t="s">
        <v>61</v>
      </c>
    </row>
    <row r="44" spans="1:49" ht="23.25">
      <c r="A44" s="10">
        <v>37</v>
      </c>
      <c r="B44" s="23">
        <v>44754</v>
      </c>
      <c r="C44" s="23">
        <v>44756</v>
      </c>
      <c r="D44" s="21">
        <v>40.5</v>
      </c>
      <c r="E44" s="18">
        <v>1</v>
      </c>
      <c r="F44" s="18">
        <v>1</v>
      </c>
      <c r="G44" s="18">
        <v>1</v>
      </c>
      <c r="H44" s="18">
        <v>1</v>
      </c>
      <c r="I44" s="14">
        <f t="shared" si="0"/>
        <v>1</v>
      </c>
      <c r="J44" s="12">
        <v>0</v>
      </c>
      <c r="K44" s="11">
        <v>100</v>
      </c>
      <c r="L44" s="12">
        <v>0</v>
      </c>
      <c r="M44" s="11" t="s">
        <v>79</v>
      </c>
      <c r="N44" s="11">
        <v>0</v>
      </c>
      <c r="O44" s="13">
        <v>1</v>
      </c>
      <c r="P44" s="12">
        <v>1</v>
      </c>
      <c r="Q44" s="14" t="s">
        <v>115</v>
      </c>
      <c r="R44" s="12">
        <v>4</v>
      </c>
      <c r="S44" s="12">
        <v>1</v>
      </c>
      <c r="T44" s="12" t="s">
        <v>146</v>
      </c>
      <c r="U44" s="12" t="s">
        <v>61</v>
      </c>
      <c r="V44" s="15" t="s">
        <v>147</v>
      </c>
      <c r="W44" s="13">
        <v>100</v>
      </c>
      <c r="X44" s="13">
        <v>7</v>
      </c>
      <c r="Y44" s="13">
        <v>0</v>
      </c>
      <c r="Z44" s="13" t="s">
        <v>61</v>
      </c>
      <c r="AA44" s="11" t="s">
        <v>61</v>
      </c>
      <c r="AB44" s="16" t="s">
        <v>61</v>
      </c>
      <c r="AC44" s="13">
        <v>1</v>
      </c>
      <c r="AD44" s="13">
        <v>1</v>
      </c>
      <c r="AE44" s="13">
        <v>1</v>
      </c>
      <c r="AG44" s="12">
        <v>1</v>
      </c>
      <c r="AH44" s="16" t="s">
        <v>148</v>
      </c>
      <c r="AI44" s="17" t="s">
        <v>69</v>
      </c>
      <c r="AJ44" s="17" t="s">
        <v>69</v>
      </c>
      <c r="AK44" s="17" t="s">
        <v>69</v>
      </c>
      <c r="AL44" s="17" t="s">
        <v>69</v>
      </c>
      <c r="AM44" s="17" t="s">
        <v>69</v>
      </c>
      <c r="AN44" s="17" t="s">
        <v>65</v>
      </c>
      <c r="AO44" s="17" t="s">
        <v>69</v>
      </c>
      <c r="AP44" s="17" t="s">
        <v>69</v>
      </c>
      <c r="AQ44" s="17" t="s">
        <v>69</v>
      </c>
      <c r="AR44" s="17" t="s">
        <v>65</v>
      </c>
      <c r="AS44" s="17" t="s">
        <v>69</v>
      </c>
      <c r="AT44" s="17" t="s">
        <v>69</v>
      </c>
      <c r="AU44" s="17" t="s">
        <v>69</v>
      </c>
      <c r="AV44" s="17" t="s">
        <v>69</v>
      </c>
      <c r="AW44" s="17" t="s">
        <v>69</v>
      </c>
    </row>
    <row r="45" spans="1:49">
      <c r="A45" s="10">
        <v>38</v>
      </c>
      <c r="B45" s="23">
        <v>44761</v>
      </c>
      <c r="C45" s="23">
        <v>44763</v>
      </c>
      <c r="D45" s="21">
        <v>43</v>
      </c>
      <c r="E45" s="18">
        <v>1</v>
      </c>
      <c r="F45" s="18">
        <v>1</v>
      </c>
      <c r="G45" s="18">
        <v>1</v>
      </c>
      <c r="H45" s="18">
        <v>1</v>
      </c>
      <c r="I45" s="14">
        <f t="shared" si="0"/>
        <v>1</v>
      </c>
      <c r="J45" s="12">
        <v>0</v>
      </c>
      <c r="K45" s="11">
        <v>0</v>
      </c>
      <c r="L45" s="12">
        <v>0</v>
      </c>
      <c r="M45" s="11" t="s">
        <v>61</v>
      </c>
      <c r="N45" s="11">
        <v>0</v>
      </c>
      <c r="O45" s="13">
        <v>1</v>
      </c>
      <c r="P45" s="12">
        <v>1</v>
      </c>
      <c r="Q45" s="14" t="s">
        <v>115</v>
      </c>
      <c r="R45" s="12">
        <v>4</v>
      </c>
      <c r="S45" s="12">
        <v>1</v>
      </c>
      <c r="T45" s="12" t="s">
        <v>144</v>
      </c>
      <c r="U45" s="12" t="s">
        <v>61</v>
      </c>
      <c r="W45" s="13">
        <v>100</v>
      </c>
      <c r="X45" s="13">
        <v>7</v>
      </c>
      <c r="Y45" s="13">
        <v>0</v>
      </c>
      <c r="Z45" s="13" t="s">
        <v>61</v>
      </c>
      <c r="AA45" s="11" t="s">
        <v>61</v>
      </c>
      <c r="AB45" s="16" t="s">
        <v>61</v>
      </c>
      <c r="AC45" s="24">
        <v>1</v>
      </c>
      <c r="AD45" s="13">
        <v>1</v>
      </c>
      <c r="AE45" s="13">
        <v>1</v>
      </c>
      <c r="AF45" s="25" t="s">
        <v>149</v>
      </c>
      <c r="AG45" s="12">
        <v>1</v>
      </c>
      <c r="AI45" s="17" t="s">
        <v>69</v>
      </c>
      <c r="AJ45" s="17" t="s">
        <v>69</v>
      </c>
      <c r="AK45" s="17" t="s">
        <v>69</v>
      </c>
      <c r="AL45" s="17" t="s">
        <v>69</v>
      </c>
      <c r="AM45" s="17" t="s">
        <v>69</v>
      </c>
      <c r="AN45" s="17" t="s">
        <v>65</v>
      </c>
      <c r="AO45" s="17" t="s">
        <v>69</v>
      </c>
      <c r="AP45" s="17" t="s">
        <v>69</v>
      </c>
      <c r="AQ45" s="17" t="s">
        <v>69</v>
      </c>
      <c r="AR45" s="17" t="s">
        <v>65</v>
      </c>
      <c r="AS45" s="17" t="s">
        <v>69</v>
      </c>
      <c r="AT45" s="17" t="s">
        <v>69</v>
      </c>
      <c r="AU45" s="17" t="s">
        <v>69</v>
      </c>
      <c r="AV45" s="17" t="s">
        <v>69</v>
      </c>
      <c r="AW45" s="17" t="s">
        <v>69</v>
      </c>
    </row>
    <row r="46" spans="1:49">
      <c r="A46" s="10">
        <v>39</v>
      </c>
      <c r="B46" s="23">
        <v>44768</v>
      </c>
      <c r="C46" s="23">
        <v>44770</v>
      </c>
      <c r="D46" s="21">
        <v>44</v>
      </c>
      <c r="E46" s="18">
        <v>1</v>
      </c>
      <c r="F46" s="18">
        <v>1</v>
      </c>
      <c r="G46" s="18">
        <v>0</v>
      </c>
      <c r="H46" s="18" t="s">
        <v>60</v>
      </c>
      <c r="I46" s="14">
        <f t="shared" si="0"/>
        <v>0</v>
      </c>
      <c r="J46" s="12">
        <v>0</v>
      </c>
      <c r="K46" s="11">
        <v>100</v>
      </c>
      <c r="L46" s="12">
        <v>0</v>
      </c>
      <c r="M46" s="11" t="s">
        <v>79</v>
      </c>
      <c r="N46" s="11">
        <v>1</v>
      </c>
      <c r="O46" s="13">
        <v>1</v>
      </c>
      <c r="P46" s="12">
        <v>1</v>
      </c>
      <c r="Q46" s="14" t="s">
        <v>115</v>
      </c>
      <c r="R46" s="12">
        <v>4</v>
      </c>
      <c r="S46" s="12">
        <v>1</v>
      </c>
      <c r="T46" s="12" t="s">
        <v>144</v>
      </c>
      <c r="U46" s="12" t="s">
        <v>61</v>
      </c>
      <c r="W46" s="13">
        <v>100</v>
      </c>
      <c r="X46" s="13">
        <v>7</v>
      </c>
      <c r="Y46" s="13">
        <v>0</v>
      </c>
      <c r="Z46" s="13" t="s">
        <v>61</v>
      </c>
      <c r="AA46" s="11" t="s">
        <v>61</v>
      </c>
      <c r="AB46" s="16" t="s">
        <v>61</v>
      </c>
      <c r="AC46" s="13">
        <v>1</v>
      </c>
      <c r="AD46" s="13">
        <v>1</v>
      </c>
      <c r="AE46" s="13">
        <v>1</v>
      </c>
      <c r="AG46" s="12">
        <v>1</v>
      </c>
      <c r="AH46" s="16" t="s">
        <v>150</v>
      </c>
      <c r="AI46" s="17" t="s">
        <v>69</v>
      </c>
      <c r="AJ46" s="17" t="s">
        <v>69</v>
      </c>
      <c r="AK46" s="17" t="s">
        <v>69</v>
      </c>
      <c r="AL46" s="17" t="s">
        <v>69</v>
      </c>
      <c r="AM46" s="17" t="s">
        <v>69</v>
      </c>
      <c r="AN46" s="17" t="s">
        <v>65</v>
      </c>
      <c r="AO46" s="17" t="s">
        <v>65</v>
      </c>
      <c r="AP46" s="17" t="s">
        <v>69</v>
      </c>
      <c r="AQ46" s="17" t="s">
        <v>69</v>
      </c>
      <c r="AR46" s="17" t="s">
        <v>122</v>
      </c>
      <c r="AS46" s="17" t="s">
        <v>69</v>
      </c>
      <c r="AT46" s="17" t="s">
        <v>69</v>
      </c>
      <c r="AU46" s="17" t="s">
        <v>69</v>
      </c>
      <c r="AV46" s="17" t="s">
        <v>69</v>
      </c>
      <c r="AW46" s="17" t="s">
        <v>69</v>
      </c>
    </row>
    <row r="47" spans="1:49">
      <c r="A47" s="10">
        <v>40</v>
      </c>
      <c r="B47" s="23">
        <v>44775</v>
      </c>
      <c r="C47" s="23">
        <v>44777</v>
      </c>
      <c r="D47" s="21">
        <v>44</v>
      </c>
      <c r="E47" s="18">
        <v>1</v>
      </c>
      <c r="F47" s="18">
        <v>1</v>
      </c>
      <c r="G47" s="18">
        <v>1</v>
      </c>
      <c r="H47" s="18">
        <v>1</v>
      </c>
      <c r="I47" s="14">
        <f t="shared" si="0"/>
        <v>1</v>
      </c>
      <c r="J47" s="12">
        <v>0</v>
      </c>
      <c r="K47" s="11">
        <v>100</v>
      </c>
      <c r="L47" s="12">
        <v>0</v>
      </c>
      <c r="M47" s="11" t="s">
        <v>79</v>
      </c>
      <c r="N47" s="11">
        <v>0</v>
      </c>
      <c r="O47" s="13">
        <v>1</v>
      </c>
      <c r="P47" s="12">
        <v>1</v>
      </c>
      <c r="Q47" s="14" t="s">
        <v>115</v>
      </c>
      <c r="R47" s="12">
        <v>4</v>
      </c>
      <c r="S47" s="12">
        <v>1</v>
      </c>
      <c r="T47" s="12" t="s">
        <v>144</v>
      </c>
      <c r="U47" s="12" t="s">
        <v>61</v>
      </c>
      <c r="W47" s="13">
        <v>100</v>
      </c>
      <c r="X47" s="13">
        <v>7</v>
      </c>
      <c r="Y47" s="13">
        <v>0</v>
      </c>
      <c r="Z47" s="13" t="s">
        <v>61</v>
      </c>
      <c r="AA47" s="11" t="s">
        <v>61</v>
      </c>
      <c r="AB47" s="16" t="s">
        <v>61</v>
      </c>
      <c r="AC47" s="13">
        <v>1</v>
      </c>
      <c r="AD47" s="13">
        <v>1</v>
      </c>
      <c r="AE47" s="13">
        <v>1</v>
      </c>
      <c r="AG47" s="12">
        <v>1</v>
      </c>
      <c r="AH47" s="16" t="s">
        <v>151</v>
      </c>
      <c r="AI47" s="17" t="s">
        <v>69</v>
      </c>
      <c r="AJ47" s="17" t="s">
        <v>69</v>
      </c>
      <c r="AK47" s="17" t="s">
        <v>69</v>
      </c>
      <c r="AL47" s="17" t="s">
        <v>69</v>
      </c>
      <c r="AM47" s="17" t="s">
        <v>69</v>
      </c>
      <c r="AN47" s="17" t="s">
        <v>65</v>
      </c>
      <c r="AO47" s="17" t="s">
        <v>69</v>
      </c>
      <c r="AP47" s="17" t="s">
        <v>69</v>
      </c>
      <c r="AQ47" s="17" t="s">
        <v>69</v>
      </c>
      <c r="AR47" s="17" t="s">
        <v>65</v>
      </c>
      <c r="AS47" s="17" t="s">
        <v>69</v>
      </c>
      <c r="AT47" s="17" t="s">
        <v>69</v>
      </c>
      <c r="AU47" s="17" t="s">
        <v>69</v>
      </c>
      <c r="AV47" s="17" t="s">
        <v>69</v>
      </c>
      <c r="AW47" s="17" t="s">
        <v>69</v>
      </c>
    </row>
    <row r="48" spans="1:49">
      <c r="A48" s="10">
        <v>41</v>
      </c>
      <c r="B48" s="23">
        <v>44782</v>
      </c>
      <c r="C48" s="23">
        <v>44784</v>
      </c>
      <c r="D48" s="21">
        <v>47</v>
      </c>
      <c r="E48" s="18">
        <v>1</v>
      </c>
      <c r="F48" s="18">
        <v>1</v>
      </c>
      <c r="G48" s="18">
        <v>1</v>
      </c>
      <c r="H48" s="18">
        <v>1</v>
      </c>
      <c r="I48" s="14">
        <f t="shared" si="0"/>
        <v>1</v>
      </c>
      <c r="J48" s="12">
        <v>0</v>
      </c>
      <c r="K48" s="11">
        <v>0</v>
      </c>
      <c r="L48" s="12">
        <v>0</v>
      </c>
      <c r="M48" s="11" t="s">
        <v>61</v>
      </c>
      <c r="N48" s="11">
        <v>0</v>
      </c>
      <c r="O48" s="13">
        <v>1</v>
      </c>
      <c r="P48" s="12">
        <v>1</v>
      </c>
      <c r="Q48" s="14" t="s">
        <v>115</v>
      </c>
      <c r="R48" s="12">
        <v>4</v>
      </c>
      <c r="S48" s="12">
        <v>1</v>
      </c>
      <c r="T48" s="12" t="s">
        <v>144</v>
      </c>
      <c r="U48" s="12" t="s">
        <v>61</v>
      </c>
      <c r="W48" s="13">
        <v>100</v>
      </c>
      <c r="X48" s="13">
        <v>7</v>
      </c>
      <c r="Y48" s="13">
        <v>0</v>
      </c>
      <c r="Z48" s="13" t="s">
        <v>61</v>
      </c>
      <c r="AA48" s="11" t="s">
        <v>61</v>
      </c>
      <c r="AB48" s="16" t="s">
        <v>61</v>
      </c>
      <c r="AC48" s="24">
        <v>1</v>
      </c>
      <c r="AD48" s="13">
        <v>1</v>
      </c>
      <c r="AE48" s="24">
        <v>1</v>
      </c>
      <c r="AF48" s="25" t="s">
        <v>152</v>
      </c>
      <c r="AG48" s="12">
        <v>1</v>
      </c>
      <c r="AI48" s="17" t="s">
        <v>69</v>
      </c>
      <c r="AJ48" s="17" t="s">
        <v>69</v>
      </c>
      <c r="AK48" s="17" t="s">
        <v>69</v>
      </c>
      <c r="AL48" s="17" t="s">
        <v>69</v>
      </c>
      <c r="AM48" s="17" t="s">
        <v>69</v>
      </c>
      <c r="AN48" s="17" t="s">
        <v>65</v>
      </c>
      <c r="AO48" s="17" t="s">
        <v>69</v>
      </c>
      <c r="AP48" s="17" t="s">
        <v>69</v>
      </c>
      <c r="AQ48" s="17" t="s">
        <v>69</v>
      </c>
      <c r="AR48" s="17" t="s">
        <v>65</v>
      </c>
      <c r="AS48" s="17" t="s">
        <v>69</v>
      </c>
      <c r="AT48" s="17" t="s">
        <v>69</v>
      </c>
      <c r="AU48" s="17" t="s">
        <v>69</v>
      </c>
      <c r="AV48" s="17" t="s">
        <v>69</v>
      </c>
      <c r="AW48" s="17" t="s">
        <v>69</v>
      </c>
    </row>
    <row r="49" spans="1:49">
      <c r="A49" s="10">
        <v>42</v>
      </c>
      <c r="B49" s="23">
        <v>44796</v>
      </c>
      <c r="C49" s="23">
        <v>44798</v>
      </c>
      <c r="D49" s="21">
        <v>46.8</v>
      </c>
      <c r="E49" s="18">
        <v>1</v>
      </c>
      <c r="F49" s="18">
        <v>0</v>
      </c>
      <c r="G49" s="18" t="s">
        <v>60</v>
      </c>
      <c r="H49" s="18" t="s">
        <v>60</v>
      </c>
      <c r="I49" s="14">
        <f t="shared" si="0"/>
        <v>0</v>
      </c>
      <c r="J49" s="12">
        <v>1</v>
      </c>
      <c r="K49" s="11">
        <v>0</v>
      </c>
      <c r="L49" s="12">
        <v>0</v>
      </c>
      <c r="M49" s="11" t="s">
        <v>61</v>
      </c>
      <c r="N49" s="11">
        <v>0</v>
      </c>
      <c r="O49" s="13">
        <v>1</v>
      </c>
      <c r="P49" s="12">
        <v>1</v>
      </c>
      <c r="Q49" s="14" t="s">
        <v>115</v>
      </c>
      <c r="R49" s="12">
        <v>4</v>
      </c>
      <c r="S49" s="12">
        <v>1</v>
      </c>
      <c r="T49" s="12" t="s">
        <v>144</v>
      </c>
      <c r="U49" s="12" t="s">
        <v>61</v>
      </c>
      <c r="V49" s="28" t="s">
        <v>153</v>
      </c>
      <c r="W49" s="13">
        <v>100</v>
      </c>
      <c r="X49" s="13">
        <v>7</v>
      </c>
      <c r="Y49" s="13">
        <v>0</v>
      </c>
      <c r="Z49" s="13" t="s">
        <v>61</v>
      </c>
      <c r="AA49" s="11" t="s">
        <v>61</v>
      </c>
      <c r="AB49" s="16" t="s">
        <v>61</v>
      </c>
      <c r="AC49" s="13">
        <v>1</v>
      </c>
      <c r="AD49" s="13">
        <v>1</v>
      </c>
      <c r="AE49" s="13">
        <v>1</v>
      </c>
      <c r="AG49" s="12">
        <v>1</v>
      </c>
      <c r="AI49" s="17" t="s">
        <v>69</v>
      </c>
      <c r="AJ49" s="17" t="s">
        <v>69</v>
      </c>
      <c r="AK49" s="17" t="s">
        <v>69</v>
      </c>
      <c r="AL49" s="17" t="s">
        <v>69</v>
      </c>
      <c r="AM49" s="17" t="s">
        <v>61</v>
      </c>
      <c r="AN49" s="17" t="s">
        <v>65</v>
      </c>
      <c r="AO49" s="17" t="s">
        <v>61</v>
      </c>
      <c r="AP49" s="17" t="s">
        <v>61</v>
      </c>
      <c r="AQ49" s="17" t="s">
        <v>69</v>
      </c>
      <c r="AR49" s="17" t="s">
        <v>65</v>
      </c>
      <c r="AS49" s="17" t="s">
        <v>69</v>
      </c>
      <c r="AT49" s="17" t="s">
        <v>69</v>
      </c>
      <c r="AU49" s="17" t="s">
        <v>69</v>
      </c>
      <c r="AV49" s="17" t="s">
        <v>69</v>
      </c>
      <c r="AW49" s="17" t="s">
        <v>69</v>
      </c>
    </row>
    <row r="50" spans="1:49" ht="35.25">
      <c r="A50" s="10">
        <v>43</v>
      </c>
      <c r="B50" s="23">
        <v>44803</v>
      </c>
      <c r="C50" s="23">
        <v>44804</v>
      </c>
      <c r="D50" s="21">
        <v>50</v>
      </c>
      <c r="E50" s="18">
        <v>1</v>
      </c>
      <c r="F50" s="18">
        <v>0</v>
      </c>
      <c r="G50" s="18" t="s">
        <v>60</v>
      </c>
      <c r="H50" s="18" t="s">
        <v>60</v>
      </c>
      <c r="I50" s="14">
        <f t="shared" si="0"/>
        <v>0</v>
      </c>
      <c r="J50" s="12">
        <v>1</v>
      </c>
      <c r="K50" s="11">
        <v>0</v>
      </c>
      <c r="L50" s="12">
        <v>0</v>
      </c>
      <c r="M50" s="11" t="s">
        <v>61</v>
      </c>
      <c r="N50" s="11">
        <v>0</v>
      </c>
      <c r="O50" s="13">
        <v>1</v>
      </c>
      <c r="P50" s="12">
        <v>0</v>
      </c>
      <c r="Q50" s="14" t="s">
        <v>93</v>
      </c>
      <c r="R50" s="12">
        <v>0</v>
      </c>
      <c r="S50" s="12" t="s">
        <v>61</v>
      </c>
      <c r="T50" s="12" t="s">
        <v>144</v>
      </c>
      <c r="U50" s="12" t="s">
        <v>61</v>
      </c>
      <c r="V50" s="15" t="s">
        <v>154</v>
      </c>
      <c r="W50" s="13">
        <v>100</v>
      </c>
      <c r="X50" s="13">
        <v>4</v>
      </c>
      <c r="Y50" s="13">
        <v>1</v>
      </c>
      <c r="Z50" s="13">
        <v>0</v>
      </c>
      <c r="AA50" s="11">
        <v>13</v>
      </c>
      <c r="AB50" s="16" t="s">
        <v>155</v>
      </c>
      <c r="AC50" s="13">
        <v>1</v>
      </c>
      <c r="AD50" s="13">
        <v>0</v>
      </c>
      <c r="AE50" s="13">
        <v>0</v>
      </c>
      <c r="AG50" s="12">
        <v>1</v>
      </c>
      <c r="AH50" s="16" t="s">
        <v>156</v>
      </c>
      <c r="AI50" s="17" t="s">
        <v>69</v>
      </c>
      <c r="AJ50" s="17" t="s">
        <v>69</v>
      </c>
      <c r="AK50" s="17" t="s">
        <v>69</v>
      </c>
      <c r="AL50" s="17" t="s">
        <v>69</v>
      </c>
      <c r="AM50" s="17" t="s">
        <v>61</v>
      </c>
      <c r="AN50" s="17" t="s">
        <v>65</v>
      </c>
      <c r="AO50" s="17" t="s">
        <v>61</v>
      </c>
      <c r="AP50" s="17" t="s">
        <v>69</v>
      </c>
      <c r="AQ50" s="17" t="s">
        <v>61</v>
      </c>
      <c r="AR50" s="17" t="s">
        <v>61</v>
      </c>
      <c r="AS50" s="17" t="s">
        <v>61</v>
      </c>
      <c r="AT50" s="17" t="s">
        <v>61</v>
      </c>
      <c r="AU50" s="17" t="s">
        <v>61</v>
      </c>
      <c r="AV50" s="17" t="s">
        <v>69</v>
      </c>
      <c r="AW50" s="17" t="s">
        <v>69</v>
      </c>
    </row>
    <row r="51" spans="1:49">
      <c r="A51" s="10">
        <v>44</v>
      </c>
      <c r="B51" s="23">
        <v>44817</v>
      </c>
      <c r="C51" s="23">
        <v>44818</v>
      </c>
      <c r="D51" s="21">
        <v>43.4</v>
      </c>
      <c r="E51" s="18">
        <v>1</v>
      </c>
      <c r="F51" s="18">
        <v>0</v>
      </c>
      <c r="G51" s="18" t="s">
        <v>60</v>
      </c>
      <c r="H51" s="18" t="s">
        <v>60</v>
      </c>
      <c r="I51" s="14">
        <f t="shared" si="0"/>
        <v>0</v>
      </c>
      <c r="J51" s="12">
        <v>1</v>
      </c>
      <c r="K51" s="11">
        <v>0</v>
      </c>
      <c r="L51" s="12">
        <v>0</v>
      </c>
      <c r="M51" s="11" t="s">
        <v>61</v>
      </c>
      <c r="N51" s="11">
        <v>0</v>
      </c>
      <c r="O51" s="13">
        <v>1</v>
      </c>
      <c r="P51" s="12">
        <v>0</v>
      </c>
      <c r="Q51" s="14" t="s">
        <v>93</v>
      </c>
      <c r="R51" s="12">
        <v>0</v>
      </c>
      <c r="S51" s="12" t="s">
        <v>61</v>
      </c>
      <c r="T51" s="12" t="s">
        <v>144</v>
      </c>
      <c r="U51" s="12" t="s">
        <v>61</v>
      </c>
      <c r="V51" s="15" t="s">
        <v>157</v>
      </c>
      <c r="W51" s="13">
        <v>100</v>
      </c>
      <c r="X51" s="13">
        <v>3</v>
      </c>
      <c r="Y51" s="13">
        <v>1</v>
      </c>
      <c r="Z51" s="13">
        <v>1</v>
      </c>
      <c r="AA51" s="11">
        <v>8</v>
      </c>
      <c r="AB51" s="16" t="s">
        <v>158</v>
      </c>
      <c r="AC51" s="13">
        <v>1</v>
      </c>
      <c r="AD51" s="13">
        <v>0</v>
      </c>
      <c r="AE51" s="13">
        <v>0</v>
      </c>
      <c r="AF51" s="25" t="s">
        <v>159</v>
      </c>
      <c r="AG51" s="12">
        <v>1</v>
      </c>
      <c r="AH51" s="16" t="s">
        <v>160</v>
      </c>
      <c r="AI51" s="17" t="s">
        <v>69</v>
      </c>
      <c r="AJ51" s="17" t="s">
        <v>69</v>
      </c>
      <c r="AK51" s="17" t="s">
        <v>69</v>
      </c>
      <c r="AL51" s="17" t="s">
        <v>69</v>
      </c>
      <c r="AM51" s="17" t="s">
        <v>61</v>
      </c>
      <c r="AO51" s="17" t="s">
        <v>61</v>
      </c>
      <c r="AP51" s="17" t="s">
        <v>69</v>
      </c>
      <c r="AQ51" s="17" t="s">
        <v>61</v>
      </c>
      <c r="AR51" s="17" t="s">
        <v>61</v>
      </c>
      <c r="AS51" s="17" t="s">
        <v>61</v>
      </c>
      <c r="AT51" s="17" t="s">
        <v>61</v>
      </c>
      <c r="AU51" s="17" t="s">
        <v>61</v>
      </c>
      <c r="AV51" s="17" t="s">
        <v>69</v>
      </c>
      <c r="AW51" s="17" t="s">
        <v>69</v>
      </c>
    </row>
    <row r="52" spans="1:49">
      <c r="A52" s="10">
        <v>45</v>
      </c>
      <c r="B52" s="23">
        <v>44824</v>
      </c>
      <c r="C52" s="23">
        <v>44826</v>
      </c>
      <c r="D52" s="21">
        <v>44.5</v>
      </c>
      <c r="E52" s="18">
        <v>1</v>
      </c>
      <c r="F52" s="18">
        <v>1</v>
      </c>
      <c r="G52" s="18">
        <v>1</v>
      </c>
      <c r="H52" s="18">
        <v>1</v>
      </c>
      <c r="I52" s="14">
        <f t="shared" si="0"/>
        <v>1</v>
      </c>
      <c r="J52" s="12">
        <v>0</v>
      </c>
      <c r="K52" s="11">
        <v>0</v>
      </c>
      <c r="L52" s="12">
        <v>0</v>
      </c>
      <c r="M52" s="11" t="s">
        <v>61</v>
      </c>
      <c r="N52" s="11">
        <v>0</v>
      </c>
      <c r="O52" s="13">
        <v>1</v>
      </c>
      <c r="P52" s="12">
        <v>0</v>
      </c>
      <c r="Q52" s="14" t="s">
        <v>93</v>
      </c>
      <c r="R52" s="12">
        <v>0</v>
      </c>
      <c r="S52" s="12" t="s">
        <v>61</v>
      </c>
      <c r="T52" s="12" t="s">
        <v>144</v>
      </c>
      <c r="U52" s="12" t="s">
        <v>61</v>
      </c>
      <c r="V52" s="28" t="s">
        <v>161</v>
      </c>
      <c r="W52" s="13">
        <v>100</v>
      </c>
      <c r="X52" s="13">
        <v>7</v>
      </c>
      <c r="Y52" s="13">
        <v>0</v>
      </c>
      <c r="Z52" s="13" t="s">
        <v>61</v>
      </c>
      <c r="AA52" s="11" t="s">
        <v>61</v>
      </c>
      <c r="AB52" s="16" t="s">
        <v>61</v>
      </c>
      <c r="AC52" s="13">
        <v>1</v>
      </c>
      <c r="AD52" s="13">
        <v>1</v>
      </c>
      <c r="AE52" s="13">
        <v>1</v>
      </c>
      <c r="AG52" s="12">
        <v>1</v>
      </c>
      <c r="AI52" s="17" t="s">
        <v>69</v>
      </c>
      <c r="AJ52" s="17" t="s">
        <v>69</v>
      </c>
      <c r="AK52" s="17" t="s">
        <v>69</v>
      </c>
      <c r="AL52" s="17" t="s">
        <v>69</v>
      </c>
      <c r="AM52" s="17" t="s">
        <v>69</v>
      </c>
      <c r="AN52" s="17" t="s">
        <v>65</v>
      </c>
      <c r="AO52" s="17" t="s">
        <v>69</v>
      </c>
      <c r="AP52" s="17" t="s">
        <v>69</v>
      </c>
      <c r="AQ52" s="17" t="s">
        <v>69</v>
      </c>
      <c r="AR52" s="17" t="s">
        <v>65</v>
      </c>
      <c r="AS52" s="17" t="s">
        <v>69</v>
      </c>
      <c r="AT52" s="17" t="s">
        <v>65</v>
      </c>
      <c r="AU52" s="17" t="s">
        <v>65</v>
      </c>
      <c r="AV52" s="17" t="s">
        <v>69</v>
      </c>
      <c r="AW52" s="17" t="s">
        <v>69</v>
      </c>
    </row>
    <row r="53" spans="1:49">
      <c r="A53" s="10">
        <v>46</v>
      </c>
      <c r="B53" s="23">
        <v>44831</v>
      </c>
      <c r="C53" s="23">
        <v>44831</v>
      </c>
      <c r="D53" s="21">
        <v>44.3</v>
      </c>
      <c r="E53" s="18">
        <v>1</v>
      </c>
      <c r="F53" s="18">
        <v>0</v>
      </c>
      <c r="G53" s="18" t="s">
        <v>60</v>
      </c>
      <c r="H53" s="18" t="s">
        <v>60</v>
      </c>
      <c r="I53" s="14">
        <f t="shared" si="0"/>
        <v>0</v>
      </c>
      <c r="J53" s="12">
        <v>1</v>
      </c>
      <c r="K53" s="11">
        <v>0</v>
      </c>
      <c r="L53" s="12">
        <v>0</v>
      </c>
      <c r="M53" s="11" t="s">
        <v>61</v>
      </c>
      <c r="N53" s="11">
        <v>0</v>
      </c>
      <c r="O53" s="13">
        <v>1</v>
      </c>
      <c r="P53" s="12">
        <v>1</v>
      </c>
      <c r="Q53" s="14" t="s">
        <v>115</v>
      </c>
      <c r="R53" s="12">
        <v>4</v>
      </c>
      <c r="S53" s="12">
        <v>1</v>
      </c>
      <c r="T53" s="12" t="s">
        <v>144</v>
      </c>
      <c r="U53" s="12" t="s">
        <v>61</v>
      </c>
      <c r="V53" s="15" t="s">
        <v>162</v>
      </c>
      <c r="W53" s="13">
        <v>100</v>
      </c>
      <c r="X53" s="13">
        <v>4</v>
      </c>
      <c r="Y53" s="13">
        <v>1</v>
      </c>
      <c r="Z53" s="13">
        <v>1</v>
      </c>
      <c r="AA53" s="11">
        <v>17.3</v>
      </c>
      <c r="AB53" s="16" t="s">
        <v>163</v>
      </c>
      <c r="AC53" s="13">
        <v>1</v>
      </c>
      <c r="AD53" s="13">
        <v>0</v>
      </c>
      <c r="AE53" s="13">
        <v>0</v>
      </c>
      <c r="AG53" s="12">
        <v>1</v>
      </c>
      <c r="AH53" s="16" t="s">
        <v>164</v>
      </c>
      <c r="AI53" s="17" t="s">
        <v>69</v>
      </c>
      <c r="AJ53" s="17" t="s">
        <v>61</v>
      </c>
      <c r="AK53" s="17" t="s">
        <v>61</v>
      </c>
      <c r="AL53" s="17" t="s">
        <v>61</v>
      </c>
      <c r="AM53" s="17" t="s">
        <v>61</v>
      </c>
      <c r="AN53" s="17" t="s">
        <v>65</v>
      </c>
      <c r="AO53" s="17" t="s">
        <v>61</v>
      </c>
      <c r="AP53" s="17" t="s">
        <v>61</v>
      </c>
      <c r="AQ53" s="17" t="s">
        <v>61</v>
      </c>
      <c r="AR53" s="17" t="s">
        <v>61</v>
      </c>
      <c r="AS53" s="17" t="s">
        <v>61</v>
      </c>
      <c r="AT53" s="17" t="s">
        <v>61</v>
      </c>
      <c r="AU53" s="17" t="s">
        <v>61</v>
      </c>
      <c r="AV53" s="17" t="s">
        <v>69</v>
      </c>
      <c r="AW53" s="17" t="s">
        <v>69</v>
      </c>
    </row>
    <row r="54" spans="1:49">
      <c r="A54" s="10">
        <v>47</v>
      </c>
      <c r="B54" s="23">
        <v>44845</v>
      </c>
      <c r="C54" s="23">
        <v>44847</v>
      </c>
      <c r="D54" s="21">
        <v>44.5</v>
      </c>
      <c r="E54" s="18">
        <v>1</v>
      </c>
      <c r="F54" s="18">
        <v>1</v>
      </c>
      <c r="G54" s="18">
        <v>0</v>
      </c>
      <c r="H54" s="18" t="s">
        <v>60</v>
      </c>
      <c r="I54" s="14">
        <f t="shared" si="0"/>
        <v>0</v>
      </c>
      <c r="J54" s="12">
        <v>0</v>
      </c>
      <c r="K54" s="11">
        <v>0</v>
      </c>
      <c r="L54" s="12">
        <v>0</v>
      </c>
      <c r="M54" s="11" t="s">
        <v>61</v>
      </c>
      <c r="N54" s="11">
        <v>0</v>
      </c>
      <c r="O54" s="13">
        <v>1</v>
      </c>
      <c r="P54" s="12">
        <v>1</v>
      </c>
      <c r="Q54" s="14" t="s">
        <v>115</v>
      </c>
      <c r="R54" s="12">
        <v>4</v>
      </c>
      <c r="S54" s="12">
        <v>1</v>
      </c>
      <c r="T54" s="12" t="s">
        <v>144</v>
      </c>
      <c r="U54" s="12" t="s">
        <v>61</v>
      </c>
      <c r="V54" s="15" t="s">
        <v>165</v>
      </c>
      <c r="W54" s="13">
        <v>100</v>
      </c>
      <c r="X54" s="13">
        <v>7</v>
      </c>
      <c r="Y54" s="13">
        <v>0</v>
      </c>
      <c r="Z54" s="13" t="s">
        <v>61</v>
      </c>
      <c r="AA54" s="11" t="s">
        <v>61</v>
      </c>
      <c r="AC54" s="13">
        <v>1</v>
      </c>
      <c r="AD54" s="13">
        <v>1</v>
      </c>
      <c r="AE54" s="13">
        <v>1</v>
      </c>
      <c r="AG54" s="12">
        <v>1</v>
      </c>
      <c r="AI54" s="17" t="s">
        <v>69</v>
      </c>
      <c r="AJ54" s="17" t="s">
        <v>69</v>
      </c>
      <c r="AK54" s="17" t="s">
        <v>69</v>
      </c>
      <c r="AL54" s="17" t="s">
        <v>69</v>
      </c>
      <c r="AM54" s="17" t="s">
        <v>69</v>
      </c>
      <c r="AN54" s="17" t="s">
        <v>65</v>
      </c>
      <c r="AO54" s="17" t="s">
        <v>65</v>
      </c>
      <c r="AP54" s="17" t="s">
        <v>69</v>
      </c>
      <c r="AQ54" s="17" t="s">
        <v>69</v>
      </c>
      <c r="AR54" s="17" t="s">
        <v>65</v>
      </c>
      <c r="AS54" s="17" t="s">
        <v>69</v>
      </c>
      <c r="AT54" s="17" t="s">
        <v>65</v>
      </c>
      <c r="AU54" s="17" t="s">
        <v>65</v>
      </c>
      <c r="AV54" s="17" t="s">
        <v>69</v>
      </c>
      <c r="AW54" s="17" t="s">
        <v>69</v>
      </c>
    </row>
    <row r="55" spans="1:49">
      <c r="A55" s="10">
        <v>48</v>
      </c>
      <c r="B55" s="23">
        <v>44852</v>
      </c>
      <c r="C55" s="23">
        <v>44854</v>
      </c>
      <c r="D55" s="21">
        <v>45.3</v>
      </c>
      <c r="E55" s="18">
        <v>1</v>
      </c>
      <c r="F55" s="18">
        <v>1</v>
      </c>
      <c r="G55" s="18">
        <v>1</v>
      </c>
      <c r="H55" s="18">
        <v>1</v>
      </c>
      <c r="I55" s="14">
        <f t="shared" si="0"/>
        <v>1</v>
      </c>
      <c r="J55" s="12">
        <v>0</v>
      </c>
      <c r="K55" s="11">
        <v>100</v>
      </c>
      <c r="L55" s="12">
        <v>0</v>
      </c>
      <c r="M55" s="11" t="s">
        <v>79</v>
      </c>
      <c r="N55" s="11">
        <v>0</v>
      </c>
      <c r="O55" s="13">
        <v>1</v>
      </c>
      <c r="P55" s="12">
        <v>1</v>
      </c>
      <c r="Q55" s="14" t="s">
        <v>115</v>
      </c>
      <c r="R55" s="12">
        <v>4</v>
      </c>
      <c r="S55" s="12">
        <v>1</v>
      </c>
      <c r="T55" s="12" t="s">
        <v>144</v>
      </c>
      <c r="U55" s="12" t="s">
        <v>61</v>
      </c>
      <c r="V55" s="15" t="s">
        <v>166</v>
      </c>
      <c r="W55" s="13">
        <v>100</v>
      </c>
      <c r="X55" s="13">
        <v>7</v>
      </c>
      <c r="Y55" s="13">
        <v>0</v>
      </c>
      <c r="Z55" s="13" t="s">
        <v>61</v>
      </c>
      <c r="AA55" s="11" t="s">
        <v>61</v>
      </c>
      <c r="AC55" s="13">
        <v>1</v>
      </c>
      <c r="AD55" s="13">
        <v>1</v>
      </c>
      <c r="AE55" s="13">
        <v>1</v>
      </c>
      <c r="AG55" s="12">
        <v>1</v>
      </c>
      <c r="AI55" s="17" t="s">
        <v>69</v>
      </c>
      <c r="AJ55" s="17" t="s">
        <v>69</v>
      </c>
      <c r="AK55" s="17" t="s">
        <v>69</v>
      </c>
      <c r="AL55" s="17" t="s">
        <v>69</v>
      </c>
      <c r="AM55" s="17" t="s">
        <v>69</v>
      </c>
      <c r="AN55" s="17" t="s">
        <v>65</v>
      </c>
      <c r="AO55" s="17" t="s">
        <v>69</v>
      </c>
      <c r="AP55" s="17" t="s">
        <v>69</v>
      </c>
      <c r="AQ55" s="17" t="s">
        <v>69</v>
      </c>
      <c r="AR55" s="17" t="s">
        <v>65</v>
      </c>
      <c r="AS55" s="17" t="s">
        <v>69</v>
      </c>
      <c r="AT55" s="17" t="s">
        <v>65</v>
      </c>
      <c r="AU55" s="17" t="s">
        <v>65</v>
      </c>
      <c r="AV55" s="17" t="s">
        <v>69</v>
      </c>
      <c r="AW55" s="17" t="s">
        <v>69</v>
      </c>
    </row>
    <row r="56" spans="1:49">
      <c r="A56" s="10">
        <v>49</v>
      </c>
      <c r="B56" s="23">
        <v>44859</v>
      </c>
      <c r="C56" s="23">
        <v>44861</v>
      </c>
      <c r="D56" s="21">
        <v>42</v>
      </c>
      <c r="E56" s="18">
        <v>1</v>
      </c>
      <c r="F56" s="18">
        <v>1</v>
      </c>
      <c r="G56" s="18">
        <v>1</v>
      </c>
      <c r="H56" s="18">
        <v>1</v>
      </c>
      <c r="I56" s="14">
        <f t="shared" si="0"/>
        <v>1</v>
      </c>
      <c r="J56" s="12">
        <v>0</v>
      </c>
      <c r="K56" s="11">
        <v>100</v>
      </c>
      <c r="L56" s="12">
        <v>0</v>
      </c>
      <c r="M56" s="11" t="s">
        <v>79</v>
      </c>
      <c r="N56" s="11">
        <v>1</v>
      </c>
      <c r="O56" s="13">
        <v>1</v>
      </c>
      <c r="P56" s="12">
        <v>1</v>
      </c>
      <c r="Q56" s="14" t="s">
        <v>115</v>
      </c>
      <c r="R56" s="12">
        <v>4</v>
      </c>
      <c r="S56" s="12">
        <v>1</v>
      </c>
      <c r="T56" s="12" t="s">
        <v>144</v>
      </c>
      <c r="U56" s="12" t="s">
        <v>61</v>
      </c>
      <c r="V56" s="15" t="s">
        <v>167</v>
      </c>
      <c r="W56" s="13">
        <v>100</v>
      </c>
      <c r="X56" s="13">
        <v>7</v>
      </c>
      <c r="Y56" s="13">
        <v>0</v>
      </c>
      <c r="Z56" s="13" t="s">
        <v>61</v>
      </c>
      <c r="AA56" s="11" t="s">
        <v>61</v>
      </c>
      <c r="AC56" s="13">
        <v>1</v>
      </c>
      <c r="AD56" s="13">
        <v>1</v>
      </c>
      <c r="AE56" s="13">
        <v>1</v>
      </c>
      <c r="AG56" s="12">
        <v>1</v>
      </c>
      <c r="AI56" s="17" t="s">
        <v>69</v>
      </c>
      <c r="AJ56" s="17" t="s">
        <v>69</v>
      </c>
      <c r="AK56" s="17" t="s">
        <v>69</v>
      </c>
      <c r="AL56" s="17" t="s">
        <v>69</v>
      </c>
      <c r="AM56" s="17" t="s">
        <v>69</v>
      </c>
      <c r="AN56" s="17" t="s">
        <v>65</v>
      </c>
      <c r="AO56" s="17" t="s">
        <v>69</v>
      </c>
      <c r="AP56" s="17" t="s">
        <v>69</v>
      </c>
      <c r="AQ56" s="17" t="s">
        <v>69</v>
      </c>
      <c r="AR56" s="17" t="s">
        <v>122</v>
      </c>
      <c r="AS56" s="17" t="s">
        <v>69</v>
      </c>
      <c r="AT56" s="17" t="s">
        <v>65</v>
      </c>
      <c r="AU56" s="17" t="s">
        <v>65</v>
      </c>
      <c r="AV56" s="17" t="s">
        <v>69</v>
      </c>
      <c r="AW56" s="17" t="s">
        <v>69</v>
      </c>
    </row>
    <row r="57" spans="1:49">
      <c r="A57" s="10">
        <v>50</v>
      </c>
      <c r="B57" s="23">
        <v>44866</v>
      </c>
      <c r="C57" s="23">
        <v>44868</v>
      </c>
      <c r="D57" s="21">
        <v>48</v>
      </c>
      <c r="E57" s="18">
        <v>1</v>
      </c>
      <c r="F57" s="18">
        <v>1</v>
      </c>
      <c r="G57" s="18">
        <v>1</v>
      </c>
      <c r="H57" s="18">
        <v>1</v>
      </c>
      <c r="I57" s="14">
        <f t="shared" si="0"/>
        <v>1</v>
      </c>
      <c r="J57" s="12">
        <v>0</v>
      </c>
      <c r="K57" s="11">
        <v>100</v>
      </c>
      <c r="L57" s="12">
        <v>0</v>
      </c>
      <c r="M57" s="11" t="s">
        <v>79</v>
      </c>
      <c r="N57" s="11">
        <v>1</v>
      </c>
      <c r="O57" s="13">
        <v>1</v>
      </c>
      <c r="P57" s="12">
        <v>1</v>
      </c>
      <c r="Q57" s="14" t="s">
        <v>115</v>
      </c>
      <c r="R57" s="12">
        <v>4</v>
      </c>
      <c r="S57" s="12">
        <v>1</v>
      </c>
      <c r="T57" s="12" t="s">
        <v>144</v>
      </c>
      <c r="U57" s="12" t="s">
        <v>61</v>
      </c>
      <c r="V57" s="15" t="s">
        <v>168</v>
      </c>
      <c r="W57" s="13">
        <v>100</v>
      </c>
      <c r="X57" s="13">
        <v>7</v>
      </c>
      <c r="Y57" s="13">
        <v>0</v>
      </c>
      <c r="Z57" s="13" t="s">
        <v>61</v>
      </c>
      <c r="AA57" s="11" t="s">
        <v>61</v>
      </c>
      <c r="AC57" s="13">
        <v>1</v>
      </c>
      <c r="AD57" s="13">
        <v>1</v>
      </c>
      <c r="AE57" s="13">
        <v>1</v>
      </c>
      <c r="AG57" s="12">
        <v>1</v>
      </c>
      <c r="AH57" s="16" t="s">
        <v>169</v>
      </c>
      <c r="AI57" s="17" t="s">
        <v>69</v>
      </c>
      <c r="AJ57" s="17" t="s">
        <v>69</v>
      </c>
      <c r="AK57" s="17" t="s">
        <v>69</v>
      </c>
      <c r="AL57" s="17" t="s">
        <v>69</v>
      </c>
      <c r="AM57" s="17" t="s">
        <v>69</v>
      </c>
      <c r="AN57" s="17" t="s">
        <v>65</v>
      </c>
      <c r="AO57" s="17" t="s">
        <v>69</v>
      </c>
      <c r="AP57" s="17" t="s">
        <v>69</v>
      </c>
      <c r="AQ57" s="17" t="s">
        <v>69</v>
      </c>
      <c r="AR57" s="17" t="s">
        <v>122</v>
      </c>
      <c r="AS57" s="17" t="s">
        <v>69</v>
      </c>
      <c r="AT57" s="17" t="s">
        <v>65</v>
      </c>
      <c r="AU57" s="17" t="s">
        <v>65</v>
      </c>
      <c r="AV57" s="17" t="s">
        <v>69</v>
      </c>
      <c r="AW57" s="17" t="s">
        <v>69</v>
      </c>
    </row>
    <row r="58" spans="1:49">
      <c r="A58" s="10">
        <v>51</v>
      </c>
      <c r="B58" s="23">
        <v>44873</v>
      </c>
      <c r="C58" s="23">
        <v>44875</v>
      </c>
      <c r="D58" s="21">
        <v>45.25</v>
      </c>
      <c r="E58" s="18">
        <v>1</v>
      </c>
      <c r="F58" s="18">
        <v>1</v>
      </c>
      <c r="G58" s="18">
        <v>0</v>
      </c>
      <c r="H58" s="18" t="s">
        <v>60</v>
      </c>
      <c r="I58" s="14">
        <f t="shared" si="0"/>
        <v>0</v>
      </c>
      <c r="J58" s="12">
        <v>0</v>
      </c>
      <c r="K58" s="11">
        <v>0</v>
      </c>
      <c r="L58" s="12">
        <v>0</v>
      </c>
      <c r="M58" s="11" t="s">
        <v>61</v>
      </c>
      <c r="N58" s="11">
        <v>0</v>
      </c>
      <c r="O58" s="13">
        <v>1</v>
      </c>
      <c r="P58" s="12">
        <v>1</v>
      </c>
      <c r="Q58" s="14" t="s">
        <v>115</v>
      </c>
      <c r="R58" s="12">
        <v>4</v>
      </c>
      <c r="S58" s="12">
        <v>1</v>
      </c>
      <c r="T58" s="12" t="s">
        <v>144</v>
      </c>
      <c r="U58" s="12" t="s">
        <v>61</v>
      </c>
      <c r="V58" s="15" t="s">
        <v>170</v>
      </c>
      <c r="W58" s="13">
        <v>100</v>
      </c>
      <c r="X58" s="13">
        <v>7</v>
      </c>
      <c r="Y58" s="13">
        <v>0</v>
      </c>
      <c r="Z58" s="13" t="s">
        <v>61</v>
      </c>
      <c r="AA58" s="11" t="s">
        <v>61</v>
      </c>
      <c r="AC58" s="13">
        <v>1</v>
      </c>
      <c r="AD58" s="13">
        <v>1</v>
      </c>
      <c r="AE58" s="13">
        <v>1</v>
      </c>
      <c r="AG58" s="12">
        <v>1</v>
      </c>
      <c r="AI58" s="17" t="s">
        <v>69</v>
      </c>
      <c r="AJ58" s="17" t="s">
        <v>69</v>
      </c>
      <c r="AK58" s="17" t="s">
        <v>69</v>
      </c>
      <c r="AL58" s="17" t="s">
        <v>69</v>
      </c>
      <c r="AM58" s="17" t="s">
        <v>69</v>
      </c>
      <c r="AN58" s="17" t="s">
        <v>65</v>
      </c>
      <c r="AO58" s="17" t="s">
        <v>65</v>
      </c>
      <c r="AP58" s="17" t="s">
        <v>69</v>
      </c>
      <c r="AQ58" s="17" t="s">
        <v>69</v>
      </c>
      <c r="AR58" s="17" t="s">
        <v>65</v>
      </c>
      <c r="AS58" s="17" t="s">
        <v>69</v>
      </c>
      <c r="AT58" s="17" t="s">
        <v>65</v>
      </c>
      <c r="AU58" s="17" t="s">
        <v>65</v>
      </c>
      <c r="AV58" s="17" t="s">
        <v>69</v>
      </c>
      <c r="AW58" s="17" t="s">
        <v>69</v>
      </c>
    </row>
    <row r="59" spans="1:49">
      <c r="A59" s="10">
        <v>52</v>
      </c>
      <c r="B59" s="23">
        <v>44880</v>
      </c>
      <c r="C59" s="23">
        <v>44882</v>
      </c>
      <c r="D59" s="21">
        <v>43.5</v>
      </c>
      <c r="E59" s="18">
        <v>1</v>
      </c>
      <c r="F59" s="18">
        <v>1</v>
      </c>
      <c r="G59" s="18">
        <v>1</v>
      </c>
      <c r="H59" s="18">
        <v>1</v>
      </c>
      <c r="I59" s="14">
        <f t="shared" si="0"/>
        <v>1</v>
      </c>
      <c r="J59" s="12">
        <v>0</v>
      </c>
      <c r="K59" s="11">
        <v>100</v>
      </c>
      <c r="L59" s="12">
        <v>0</v>
      </c>
      <c r="M59" s="11" t="s">
        <v>79</v>
      </c>
      <c r="N59" s="11">
        <v>1</v>
      </c>
      <c r="O59" s="13">
        <v>1</v>
      </c>
      <c r="P59" s="12">
        <v>1</v>
      </c>
      <c r="Q59" s="14" t="s">
        <v>115</v>
      </c>
      <c r="R59" s="12">
        <v>4</v>
      </c>
      <c r="S59" s="12">
        <v>1</v>
      </c>
      <c r="T59" s="12" t="s">
        <v>144</v>
      </c>
      <c r="U59" s="12" t="s">
        <v>61</v>
      </c>
      <c r="V59" s="15" t="s">
        <v>171</v>
      </c>
      <c r="W59" s="13">
        <v>100</v>
      </c>
      <c r="X59" s="13">
        <v>7</v>
      </c>
      <c r="Y59" s="13">
        <v>0</v>
      </c>
      <c r="Z59" s="13" t="s">
        <v>61</v>
      </c>
      <c r="AA59" s="11" t="s">
        <v>61</v>
      </c>
      <c r="AC59" s="13">
        <v>1</v>
      </c>
      <c r="AD59" s="13">
        <v>1</v>
      </c>
      <c r="AE59" s="13">
        <v>1</v>
      </c>
      <c r="AG59" s="12">
        <v>1</v>
      </c>
      <c r="AI59" s="17" t="s">
        <v>69</v>
      </c>
      <c r="AJ59" s="17" t="s">
        <v>69</v>
      </c>
      <c r="AK59" s="17" t="s">
        <v>69</v>
      </c>
      <c r="AL59" s="17" t="s">
        <v>69</v>
      </c>
      <c r="AM59" s="17" t="s">
        <v>69</v>
      </c>
      <c r="AN59" s="17" t="s">
        <v>65</v>
      </c>
      <c r="AO59" s="17" t="s">
        <v>69</v>
      </c>
      <c r="AP59" s="17" t="s">
        <v>69</v>
      </c>
      <c r="AQ59" s="17" t="s">
        <v>69</v>
      </c>
      <c r="AR59" s="17" t="s">
        <v>65</v>
      </c>
      <c r="AS59" s="17" t="s">
        <v>69</v>
      </c>
      <c r="AT59" s="17" t="s">
        <v>65</v>
      </c>
      <c r="AU59" s="17" t="s">
        <v>65</v>
      </c>
      <c r="AV59" s="17" t="s">
        <v>69</v>
      </c>
      <c r="AW59" s="17" t="s">
        <v>69</v>
      </c>
    </row>
    <row r="60" spans="1:49">
      <c r="A60" s="10">
        <v>53</v>
      </c>
      <c r="B60" s="23">
        <v>44894</v>
      </c>
      <c r="C60" s="23">
        <v>44896</v>
      </c>
      <c r="D60" s="21">
        <v>47.25</v>
      </c>
      <c r="E60" s="18">
        <v>1</v>
      </c>
      <c r="F60" s="18">
        <v>1</v>
      </c>
      <c r="G60" s="18">
        <v>0</v>
      </c>
      <c r="H60" s="18" t="s">
        <v>60</v>
      </c>
      <c r="I60" s="14">
        <f t="shared" si="0"/>
        <v>0</v>
      </c>
      <c r="J60" s="12">
        <v>0</v>
      </c>
      <c r="K60" s="11">
        <v>0</v>
      </c>
      <c r="L60" s="12">
        <v>0</v>
      </c>
      <c r="M60" s="11" t="s">
        <v>61</v>
      </c>
      <c r="N60" s="11">
        <v>0</v>
      </c>
      <c r="O60" s="13">
        <v>1</v>
      </c>
      <c r="P60" s="12">
        <v>1</v>
      </c>
      <c r="Q60" s="14" t="s">
        <v>115</v>
      </c>
      <c r="R60" s="12">
        <v>4</v>
      </c>
      <c r="S60" s="12">
        <v>1</v>
      </c>
      <c r="T60" s="12" t="s">
        <v>144</v>
      </c>
      <c r="U60" s="12" t="s">
        <v>61</v>
      </c>
      <c r="V60" s="15" t="s">
        <v>172</v>
      </c>
      <c r="W60" s="13">
        <v>100</v>
      </c>
      <c r="X60" s="13">
        <v>7</v>
      </c>
      <c r="Y60" s="13">
        <v>0</v>
      </c>
      <c r="Z60" s="13" t="s">
        <v>61</v>
      </c>
      <c r="AA60" s="11" t="s">
        <v>61</v>
      </c>
      <c r="AC60" s="13">
        <v>1</v>
      </c>
      <c r="AD60" s="13">
        <v>1</v>
      </c>
      <c r="AE60" s="13">
        <v>1</v>
      </c>
      <c r="AG60" s="12">
        <v>1</v>
      </c>
      <c r="AI60" s="17" t="s">
        <v>69</v>
      </c>
      <c r="AJ60" s="17" t="s">
        <v>69</v>
      </c>
      <c r="AK60" s="17" t="s">
        <v>69</v>
      </c>
      <c r="AL60" s="17" t="s">
        <v>69</v>
      </c>
      <c r="AM60" s="17" t="s">
        <v>69</v>
      </c>
      <c r="AN60" s="17" t="s">
        <v>65</v>
      </c>
      <c r="AO60" s="17" t="s">
        <v>65</v>
      </c>
      <c r="AP60" s="17" t="s">
        <v>69</v>
      </c>
      <c r="AQ60" s="17" t="s">
        <v>69</v>
      </c>
      <c r="AR60" s="17" t="s">
        <v>65</v>
      </c>
      <c r="AS60" s="17" t="s">
        <v>69</v>
      </c>
      <c r="AT60" s="17" t="s">
        <v>65</v>
      </c>
      <c r="AU60" s="17" t="s">
        <v>65</v>
      </c>
      <c r="AV60" s="17" t="s">
        <v>69</v>
      </c>
      <c r="AW60" s="17" t="s">
        <v>69</v>
      </c>
    </row>
    <row r="61" spans="1:49">
      <c r="A61" s="10">
        <v>54</v>
      </c>
      <c r="B61" s="23">
        <v>44901</v>
      </c>
      <c r="C61" s="23">
        <v>44903</v>
      </c>
      <c r="D61" s="21">
        <v>43</v>
      </c>
      <c r="E61" s="18">
        <v>1</v>
      </c>
      <c r="F61" s="18">
        <v>1</v>
      </c>
      <c r="G61" s="18">
        <v>1</v>
      </c>
      <c r="H61" s="18">
        <v>1</v>
      </c>
      <c r="I61" s="14">
        <f t="shared" si="0"/>
        <v>1</v>
      </c>
      <c r="J61" s="12">
        <v>0</v>
      </c>
      <c r="K61" s="11">
        <v>100</v>
      </c>
      <c r="L61" s="12">
        <v>0</v>
      </c>
      <c r="M61" s="11" t="s">
        <v>79</v>
      </c>
      <c r="N61" s="11">
        <v>1</v>
      </c>
      <c r="O61" s="13">
        <v>1</v>
      </c>
      <c r="P61" s="12">
        <v>1</v>
      </c>
      <c r="Q61" s="14" t="s">
        <v>115</v>
      </c>
      <c r="R61" s="12">
        <v>4</v>
      </c>
      <c r="S61" s="12">
        <v>1</v>
      </c>
      <c r="T61" s="12" t="s">
        <v>144</v>
      </c>
      <c r="U61" s="12" t="s">
        <v>61</v>
      </c>
      <c r="V61" s="15" t="s">
        <v>173</v>
      </c>
      <c r="W61" s="13">
        <v>100</v>
      </c>
      <c r="X61" s="13">
        <v>7</v>
      </c>
      <c r="Y61" s="13">
        <v>0</v>
      </c>
      <c r="Z61" s="13" t="s">
        <v>61</v>
      </c>
      <c r="AA61" s="11" t="s">
        <v>61</v>
      </c>
      <c r="AC61" s="13">
        <v>1</v>
      </c>
      <c r="AD61" s="13">
        <v>1</v>
      </c>
      <c r="AE61" s="13">
        <v>1</v>
      </c>
      <c r="AG61" s="12">
        <v>1</v>
      </c>
      <c r="AI61" s="17" t="s">
        <v>69</v>
      </c>
      <c r="AJ61" s="17" t="s">
        <v>69</v>
      </c>
      <c r="AK61" s="17" t="s">
        <v>69</v>
      </c>
      <c r="AL61" s="17" t="s">
        <v>69</v>
      </c>
      <c r="AM61" s="17" t="s">
        <v>69</v>
      </c>
      <c r="AN61" s="17" t="s">
        <v>65</v>
      </c>
      <c r="AO61" s="17" t="s">
        <v>69</v>
      </c>
      <c r="AP61" s="17" t="s">
        <v>69</v>
      </c>
      <c r="AQ61" s="17" t="s">
        <v>69</v>
      </c>
      <c r="AR61" s="17" t="s">
        <v>65</v>
      </c>
      <c r="AS61" s="17" t="s">
        <v>69</v>
      </c>
      <c r="AT61" s="17" t="s">
        <v>65</v>
      </c>
      <c r="AU61" s="17" t="s">
        <v>65</v>
      </c>
      <c r="AV61" s="17" t="s">
        <v>69</v>
      </c>
      <c r="AW61" s="17" t="s">
        <v>69</v>
      </c>
    </row>
    <row r="62" spans="1:49">
      <c r="A62" s="10">
        <v>55</v>
      </c>
      <c r="B62" s="23">
        <v>44908</v>
      </c>
      <c r="C62" s="23">
        <v>44910</v>
      </c>
      <c r="D62" s="21">
        <v>46</v>
      </c>
      <c r="E62" s="18">
        <v>1</v>
      </c>
      <c r="F62" s="18">
        <v>1</v>
      </c>
      <c r="G62" s="18">
        <v>1</v>
      </c>
      <c r="H62" s="18">
        <v>1</v>
      </c>
      <c r="I62" s="14">
        <f t="shared" si="0"/>
        <v>1</v>
      </c>
      <c r="J62" s="12">
        <v>0</v>
      </c>
      <c r="K62" s="11">
        <v>0</v>
      </c>
      <c r="L62" s="12">
        <v>0</v>
      </c>
      <c r="M62" s="11" t="s">
        <v>61</v>
      </c>
      <c r="N62" s="11">
        <v>0</v>
      </c>
      <c r="O62" s="13">
        <v>1</v>
      </c>
      <c r="P62" s="12">
        <v>1</v>
      </c>
      <c r="Q62" s="14" t="s">
        <v>115</v>
      </c>
      <c r="R62" s="12">
        <v>4</v>
      </c>
      <c r="S62" s="12">
        <v>1</v>
      </c>
      <c r="T62" s="12" t="s">
        <v>144</v>
      </c>
      <c r="U62" s="12" t="s">
        <v>61</v>
      </c>
      <c r="W62" s="13">
        <v>100</v>
      </c>
      <c r="X62" s="13">
        <v>7</v>
      </c>
      <c r="Y62" s="13">
        <v>0</v>
      </c>
      <c r="Z62" s="13" t="s">
        <v>61</v>
      </c>
      <c r="AA62" s="11" t="s">
        <v>61</v>
      </c>
      <c r="AC62" s="13">
        <v>1</v>
      </c>
      <c r="AD62" s="13">
        <v>1</v>
      </c>
      <c r="AE62" s="13">
        <v>1</v>
      </c>
      <c r="AG62" s="12">
        <v>1</v>
      </c>
      <c r="AI62" s="17" t="s">
        <v>69</v>
      </c>
      <c r="AJ62" s="17" t="s">
        <v>69</v>
      </c>
      <c r="AK62" s="17" t="s">
        <v>69</v>
      </c>
      <c r="AL62" s="17" t="s">
        <v>69</v>
      </c>
      <c r="AM62" s="17" t="s">
        <v>69</v>
      </c>
      <c r="AN62" s="17" t="s">
        <v>65</v>
      </c>
      <c r="AO62" s="17" t="s">
        <v>69</v>
      </c>
      <c r="AP62" s="17" t="s">
        <v>69</v>
      </c>
      <c r="AQ62" s="17" t="s">
        <v>69</v>
      </c>
      <c r="AR62" s="17" t="s">
        <v>65</v>
      </c>
      <c r="AS62" s="17" t="s">
        <v>69</v>
      </c>
      <c r="AT62" s="17" t="s">
        <v>65</v>
      </c>
      <c r="AU62" s="17" t="s">
        <v>65</v>
      </c>
      <c r="AV62" s="17" t="s">
        <v>69</v>
      </c>
      <c r="AW62" s="17" t="s">
        <v>69</v>
      </c>
    </row>
    <row r="63" spans="1:49">
      <c r="A63" s="10">
        <v>56</v>
      </c>
      <c r="B63" s="23">
        <v>44936</v>
      </c>
      <c r="C63" s="23">
        <v>44938</v>
      </c>
      <c r="D63" s="21">
        <v>44.5</v>
      </c>
      <c r="E63" s="18">
        <v>1</v>
      </c>
      <c r="F63" s="18">
        <v>1</v>
      </c>
      <c r="G63" s="18">
        <v>1</v>
      </c>
      <c r="H63" s="18">
        <v>0</v>
      </c>
      <c r="I63" s="14">
        <f t="shared" si="0"/>
        <v>0</v>
      </c>
      <c r="J63" s="12">
        <v>0</v>
      </c>
      <c r="K63" s="11">
        <v>100</v>
      </c>
      <c r="L63" s="12">
        <v>0</v>
      </c>
      <c r="M63" s="11" t="s">
        <v>79</v>
      </c>
      <c r="N63" s="11">
        <v>0</v>
      </c>
      <c r="O63" s="13">
        <v>1</v>
      </c>
      <c r="P63" s="12">
        <v>1</v>
      </c>
      <c r="Q63" s="14" t="s">
        <v>115</v>
      </c>
      <c r="R63" s="12">
        <v>4</v>
      </c>
      <c r="S63" s="12">
        <v>1</v>
      </c>
      <c r="T63" s="12" t="s">
        <v>144</v>
      </c>
      <c r="U63" s="12" t="s">
        <v>61</v>
      </c>
      <c r="V63" s="28" t="s">
        <v>174</v>
      </c>
      <c r="W63" s="13">
        <v>100</v>
      </c>
      <c r="X63" s="13">
        <v>7</v>
      </c>
      <c r="Y63" s="13">
        <v>0</v>
      </c>
      <c r="Z63" s="13" t="s">
        <v>61</v>
      </c>
      <c r="AA63" s="11" t="s">
        <v>61</v>
      </c>
      <c r="AC63" s="13">
        <v>1</v>
      </c>
      <c r="AD63" s="13">
        <v>1</v>
      </c>
      <c r="AE63" s="13">
        <v>1</v>
      </c>
      <c r="AG63" s="12">
        <v>1</v>
      </c>
      <c r="AI63" s="17" t="s">
        <v>69</v>
      </c>
      <c r="AJ63" s="17" t="s">
        <v>69</v>
      </c>
      <c r="AK63" s="17" t="s">
        <v>69</v>
      </c>
      <c r="AL63" s="17" t="s">
        <v>69</v>
      </c>
      <c r="AM63" s="17" t="s">
        <v>69</v>
      </c>
      <c r="AN63" s="17" t="s">
        <v>65</v>
      </c>
      <c r="AO63" s="17" t="s">
        <v>65</v>
      </c>
      <c r="AP63" s="17" t="s">
        <v>69</v>
      </c>
      <c r="AQ63" s="17" t="s">
        <v>69</v>
      </c>
      <c r="AR63" s="17" t="s">
        <v>65</v>
      </c>
      <c r="AS63" s="17" t="s">
        <v>69</v>
      </c>
      <c r="AT63" s="17" t="s">
        <v>65</v>
      </c>
      <c r="AU63" s="17" t="s">
        <v>65</v>
      </c>
      <c r="AV63" s="17" t="s">
        <v>65</v>
      </c>
      <c r="AW63" s="17" t="s">
        <v>65</v>
      </c>
    </row>
    <row r="64" spans="1:49">
      <c r="A64" s="10">
        <v>57</v>
      </c>
      <c r="B64" s="23">
        <v>44943</v>
      </c>
      <c r="C64" s="23">
        <v>44945</v>
      </c>
      <c r="D64" s="21">
        <v>43.5</v>
      </c>
      <c r="E64" s="18">
        <v>1</v>
      </c>
      <c r="F64" s="18">
        <v>1</v>
      </c>
      <c r="G64" s="18">
        <v>1</v>
      </c>
      <c r="H64" s="18">
        <v>1</v>
      </c>
      <c r="I64" s="14">
        <f t="shared" si="0"/>
        <v>1</v>
      </c>
      <c r="J64" s="12">
        <v>0</v>
      </c>
      <c r="K64" s="11">
        <v>100</v>
      </c>
      <c r="L64" s="12">
        <v>0</v>
      </c>
      <c r="M64" s="11" t="s">
        <v>79</v>
      </c>
      <c r="N64" s="11">
        <v>1</v>
      </c>
      <c r="O64" s="13">
        <v>1</v>
      </c>
      <c r="P64" s="12">
        <v>1</v>
      </c>
      <c r="Q64" s="14" t="s">
        <v>115</v>
      </c>
      <c r="R64" s="12">
        <v>4</v>
      </c>
      <c r="S64" s="12">
        <v>1</v>
      </c>
      <c r="T64" s="12" t="s">
        <v>144</v>
      </c>
      <c r="U64" s="12" t="s">
        <v>61</v>
      </c>
      <c r="V64" s="15" t="s">
        <v>175</v>
      </c>
      <c r="W64" s="13">
        <v>100</v>
      </c>
      <c r="X64" s="13">
        <v>7</v>
      </c>
      <c r="Y64" s="13">
        <v>0</v>
      </c>
      <c r="Z64" s="13" t="s">
        <v>61</v>
      </c>
      <c r="AA64" s="11" t="s">
        <v>61</v>
      </c>
      <c r="AB64" s="16" t="s">
        <v>176</v>
      </c>
      <c r="AC64" s="13">
        <v>1</v>
      </c>
      <c r="AD64" s="13">
        <v>1</v>
      </c>
      <c r="AE64" s="13">
        <v>1</v>
      </c>
      <c r="AG64" s="12">
        <v>1</v>
      </c>
      <c r="AI64" s="17" t="s">
        <v>69</v>
      </c>
      <c r="AJ64" s="17" t="s">
        <v>69</v>
      </c>
      <c r="AK64" s="17" t="s">
        <v>69</v>
      </c>
      <c r="AL64" s="17" t="s">
        <v>69</v>
      </c>
      <c r="AM64" s="17" t="s">
        <v>69</v>
      </c>
      <c r="AN64" s="17" t="s">
        <v>65</v>
      </c>
      <c r="AO64" s="17" t="s">
        <v>69</v>
      </c>
      <c r="AP64" s="17" t="s">
        <v>69</v>
      </c>
      <c r="AQ64" s="17" t="s">
        <v>69</v>
      </c>
      <c r="AR64" s="17" t="s">
        <v>65</v>
      </c>
      <c r="AS64" s="17" t="s">
        <v>69</v>
      </c>
      <c r="AT64" s="17" t="s">
        <v>65</v>
      </c>
      <c r="AU64" s="17" t="s">
        <v>65</v>
      </c>
      <c r="AV64" s="17" t="s">
        <v>65</v>
      </c>
      <c r="AW64" s="17" t="s">
        <v>65</v>
      </c>
    </row>
    <row r="65" spans="1:49">
      <c r="A65" s="10">
        <v>58</v>
      </c>
      <c r="B65" s="23">
        <v>44950</v>
      </c>
      <c r="C65" s="23">
        <v>44952</v>
      </c>
      <c r="D65" s="21">
        <v>45.5</v>
      </c>
      <c r="E65" s="18">
        <v>1</v>
      </c>
      <c r="F65" s="18">
        <v>1</v>
      </c>
      <c r="G65" s="18">
        <v>1</v>
      </c>
      <c r="H65" s="18">
        <v>1</v>
      </c>
      <c r="I65" s="14">
        <f t="shared" si="0"/>
        <v>1</v>
      </c>
      <c r="J65" s="12">
        <v>0</v>
      </c>
      <c r="K65" s="11">
        <v>100</v>
      </c>
      <c r="L65" s="12">
        <v>0</v>
      </c>
      <c r="M65" s="11" t="s">
        <v>79</v>
      </c>
      <c r="N65" s="11">
        <v>0</v>
      </c>
      <c r="O65" s="13">
        <v>1</v>
      </c>
      <c r="P65" s="12">
        <v>1</v>
      </c>
      <c r="Q65" s="14" t="s">
        <v>115</v>
      </c>
      <c r="R65" s="12">
        <v>4</v>
      </c>
      <c r="S65" s="12">
        <v>1</v>
      </c>
      <c r="T65" s="12" t="s">
        <v>144</v>
      </c>
      <c r="U65" s="12" t="s">
        <v>61</v>
      </c>
      <c r="W65" s="13">
        <v>100</v>
      </c>
      <c r="X65" s="13">
        <v>7</v>
      </c>
      <c r="Y65" s="13">
        <v>0</v>
      </c>
      <c r="Z65" s="13" t="s">
        <v>61</v>
      </c>
      <c r="AA65" s="11" t="s">
        <v>61</v>
      </c>
      <c r="AC65" s="13">
        <v>1</v>
      </c>
      <c r="AD65" s="13">
        <v>1</v>
      </c>
      <c r="AE65" s="13">
        <v>1</v>
      </c>
      <c r="AG65" s="12">
        <v>1</v>
      </c>
      <c r="AI65" s="17" t="s">
        <v>69</v>
      </c>
      <c r="AJ65" s="17" t="s">
        <v>69</v>
      </c>
      <c r="AK65" s="17" t="s">
        <v>69</v>
      </c>
      <c r="AL65" s="17" t="s">
        <v>69</v>
      </c>
      <c r="AM65" s="17" t="s">
        <v>69</v>
      </c>
      <c r="AN65" s="17" t="s">
        <v>65</v>
      </c>
      <c r="AO65" s="17" t="s">
        <v>69</v>
      </c>
      <c r="AP65" s="17" t="s">
        <v>69</v>
      </c>
      <c r="AQ65" s="17" t="s">
        <v>69</v>
      </c>
      <c r="AR65" s="17" t="s">
        <v>65</v>
      </c>
      <c r="AS65" s="17" t="s">
        <v>69</v>
      </c>
      <c r="AT65" s="17" t="s">
        <v>65</v>
      </c>
      <c r="AU65" s="17" t="s">
        <v>65</v>
      </c>
      <c r="AV65" s="17" t="s">
        <v>65</v>
      </c>
      <c r="AW65" s="17" t="s">
        <v>65</v>
      </c>
    </row>
    <row r="66" spans="1:49">
      <c r="A66" s="10">
        <v>59</v>
      </c>
      <c r="B66" s="23">
        <v>44957</v>
      </c>
      <c r="C66" s="23">
        <v>44959</v>
      </c>
      <c r="D66" s="21">
        <v>44.25</v>
      </c>
      <c r="E66" s="18">
        <v>1</v>
      </c>
      <c r="F66" s="18">
        <v>1</v>
      </c>
      <c r="G66" s="18">
        <v>1</v>
      </c>
      <c r="H66" s="18">
        <v>1</v>
      </c>
      <c r="I66" s="14">
        <f t="shared" si="0"/>
        <v>1</v>
      </c>
      <c r="J66" s="12">
        <v>0</v>
      </c>
      <c r="K66" s="11">
        <v>0</v>
      </c>
      <c r="L66" s="12">
        <v>0</v>
      </c>
      <c r="M66" s="11" t="s">
        <v>61</v>
      </c>
      <c r="N66" s="11">
        <v>0</v>
      </c>
      <c r="O66" s="13">
        <v>1</v>
      </c>
      <c r="P66" s="12">
        <v>1</v>
      </c>
      <c r="Q66" s="14" t="s">
        <v>115</v>
      </c>
      <c r="R66" s="12">
        <v>4</v>
      </c>
      <c r="S66" s="12">
        <v>1</v>
      </c>
      <c r="T66" s="12" t="s">
        <v>144</v>
      </c>
      <c r="U66" s="12" t="s">
        <v>61</v>
      </c>
      <c r="W66" s="13">
        <v>100</v>
      </c>
      <c r="X66" s="13">
        <v>7</v>
      </c>
      <c r="Y66" s="13">
        <v>0</v>
      </c>
      <c r="Z66" s="13" t="s">
        <v>61</v>
      </c>
      <c r="AA66" s="11" t="s">
        <v>61</v>
      </c>
      <c r="AC66" s="13">
        <v>1</v>
      </c>
      <c r="AD66" s="13">
        <v>1</v>
      </c>
      <c r="AE66" s="13">
        <v>1</v>
      </c>
      <c r="AG66" s="12">
        <v>1</v>
      </c>
      <c r="AI66" s="17" t="s">
        <v>69</v>
      </c>
      <c r="AJ66" s="17" t="s">
        <v>69</v>
      </c>
      <c r="AK66" s="17" t="s">
        <v>69</v>
      </c>
      <c r="AL66" s="17" t="s">
        <v>69</v>
      </c>
      <c r="AM66" s="17" t="s">
        <v>69</v>
      </c>
      <c r="AN66" s="17" t="s">
        <v>65</v>
      </c>
      <c r="AO66" s="17" t="s">
        <v>69</v>
      </c>
      <c r="AP66" s="17" t="s">
        <v>69</v>
      </c>
      <c r="AQ66" s="17" t="s">
        <v>69</v>
      </c>
      <c r="AR66" s="17" t="s">
        <v>65</v>
      </c>
      <c r="AS66" s="17" t="s">
        <v>69</v>
      </c>
      <c r="AT66" s="17" t="s">
        <v>65</v>
      </c>
      <c r="AU66" s="17" t="s">
        <v>65</v>
      </c>
      <c r="AV66" s="17" t="s">
        <v>65</v>
      </c>
      <c r="AW66" s="17" t="s">
        <v>65</v>
      </c>
    </row>
    <row r="67" spans="1:49">
      <c r="A67" s="10">
        <v>60</v>
      </c>
      <c r="B67" s="23">
        <v>44964</v>
      </c>
      <c r="C67" s="23">
        <v>44966</v>
      </c>
      <c r="D67" s="21">
        <v>43.25</v>
      </c>
      <c r="E67" s="18">
        <v>1</v>
      </c>
      <c r="F67" s="18">
        <v>1</v>
      </c>
      <c r="G67" s="18">
        <v>0</v>
      </c>
      <c r="H67" s="18" t="s">
        <v>60</v>
      </c>
      <c r="I67" s="14">
        <f t="shared" si="0"/>
        <v>0</v>
      </c>
      <c r="J67" s="12">
        <v>0</v>
      </c>
      <c r="K67" s="11">
        <v>0</v>
      </c>
      <c r="L67" s="12">
        <v>0</v>
      </c>
      <c r="M67" s="11" t="s">
        <v>61</v>
      </c>
      <c r="N67" s="11">
        <v>0</v>
      </c>
      <c r="O67" s="13">
        <v>1</v>
      </c>
      <c r="P67" s="12">
        <v>0</v>
      </c>
      <c r="Q67" s="14" t="s">
        <v>93</v>
      </c>
      <c r="R67" s="12">
        <v>0</v>
      </c>
      <c r="S67" s="12" t="s">
        <v>61</v>
      </c>
      <c r="T67" s="12" t="s">
        <v>144</v>
      </c>
      <c r="U67" s="12" t="s">
        <v>61</v>
      </c>
      <c r="W67" s="13">
        <v>100</v>
      </c>
      <c r="X67" s="13">
        <v>7</v>
      </c>
      <c r="Y67" s="13">
        <v>0</v>
      </c>
      <c r="Z67" s="13" t="s">
        <v>61</v>
      </c>
      <c r="AA67" s="11" t="s">
        <v>61</v>
      </c>
      <c r="AC67" s="13">
        <v>1</v>
      </c>
      <c r="AD67" s="13">
        <v>1</v>
      </c>
      <c r="AE67" s="13">
        <v>1</v>
      </c>
      <c r="AG67" s="12">
        <v>1</v>
      </c>
      <c r="AI67" s="17" t="s">
        <v>69</v>
      </c>
      <c r="AJ67" s="17" t="s">
        <v>69</v>
      </c>
      <c r="AK67" s="17" t="s">
        <v>69</v>
      </c>
      <c r="AL67" s="17" t="s">
        <v>69</v>
      </c>
      <c r="AM67" s="17" t="s">
        <v>69</v>
      </c>
      <c r="AN67" s="17" t="s">
        <v>65</v>
      </c>
      <c r="AO67" s="17" t="s">
        <v>65</v>
      </c>
      <c r="AP67" s="17" t="s">
        <v>69</v>
      </c>
      <c r="AQ67" s="17" t="s">
        <v>69</v>
      </c>
      <c r="AR67" s="17" t="s">
        <v>65</v>
      </c>
      <c r="AS67" s="17" t="s">
        <v>69</v>
      </c>
      <c r="AT67" s="17" t="s">
        <v>65</v>
      </c>
      <c r="AU67" s="17" t="s">
        <v>65</v>
      </c>
      <c r="AV67" s="17" t="s">
        <v>65</v>
      </c>
      <c r="AW67" s="17" t="s">
        <v>65</v>
      </c>
    </row>
    <row r="68" spans="1:49">
      <c r="A68" s="10">
        <v>61</v>
      </c>
      <c r="B68" s="23">
        <v>44971</v>
      </c>
      <c r="C68" s="23">
        <v>44973</v>
      </c>
      <c r="D68" s="21">
        <v>45.5</v>
      </c>
      <c r="E68" s="18">
        <v>1</v>
      </c>
      <c r="F68" s="18">
        <v>1</v>
      </c>
      <c r="G68" s="18">
        <v>1</v>
      </c>
      <c r="H68" s="18">
        <v>1</v>
      </c>
      <c r="I68" s="14">
        <f t="shared" ref="I68:I93" si="1">IF(AND(E68 &gt; 0, AND(F68 &gt; 0, AND(G68 &gt; 0, H68 &gt; 0))),1,0)</f>
        <v>1</v>
      </c>
      <c r="J68" s="12">
        <v>0</v>
      </c>
      <c r="K68" s="11">
        <v>100</v>
      </c>
      <c r="L68" s="12">
        <v>0</v>
      </c>
      <c r="M68" s="11" t="s">
        <v>79</v>
      </c>
      <c r="N68" s="11">
        <v>0</v>
      </c>
      <c r="O68" s="13">
        <v>1</v>
      </c>
      <c r="P68" s="12">
        <v>1</v>
      </c>
      <c r="Q68" s="14" t="s">
        <v>115</v>
      </c>
      <c r="R68" s="12">
        <v>4</v>
      </c>
      <c r="S68" s="12">
        <v>1</v>
      </c>
      <c r="T68" s="12" t="s">
        <v>144</v>
      </c>
      <c r="U68" s="12" t="s">
        <v>61</v>
      </c>
      <c r="W68" s="13">
        <v>100</v>
      </c>
      <c r="X68" s="13">
        <v>7</v>
      </c>
      <c r="Y68" s="13">
        <v>0</v>
      </c>
      <c r="Z68" s="13" t="s">
        <v>61</v>
      </c>
      <c r="AA68" s="11" t="s">
        <v>61</v>
      </c>
      <c r="AC68" s="13">
        <v>1</v>
      </c>
      <c r="AD68" s="13">
        <v>1</v>
      </c>
      <c r="AE68" s="13">
        <v>1</v>
      </c>
      <c r="AF68" s="25" t="s">
        <v>177</v>
      </c>
      <c r="AG68" s="12">
        <v>1</v>
      </c>
      <c r="AH68" s="16" t="s">
        <v>178</v>
      </c>
      <c r="AI68" s="17" t="s">
        <v>69</v>
      </c>
      <c r="AJ68" s="17" t="s">
        <v>69</v>
      </c>
      <c r="AK68" s="17" t="s">
        <v>69</v>
      </c>
      <c r="AL68" s="17" t="s">
        <v>69</v>
      </c>
      <c r="AM68" s="17" t="s">
        <v>61</v>
      </c>
      <c r="AN68" s="17" t="s">
        <v>65</v>
      </c>
      <c r="AO68" s="17" t="s">
        <v>69</v>
      </c>
      <c r="AP68" s="17" t="s">
        <v>69</v>
      </c>
      <c r="AQ68" s="17" t="s">
        <v>69</v>
      </c>
      <c r="AR68" s="17" t="s">
        <v>65</v>
      </c>
      <c r="AS68" s="17" t="s">
        <v>69</v>
      </c>
      <c r="AT68" s="17" t="s">
        <v>65</v>
      </c>
      <c r="AU68" s="17" t="s">
        <v>65</v>
      </c>
      <c r="AV68" s="17" t="s">
        <v>65</v>
      </c>
      <c r="AW68" s="17" t="s">
        <v>65</v>
      </c>
    </row>
    <row r="69" spans="1:49">
      <c r="A69" s="10">
        <v>62</v>
      </c>
      <c r="B69" s="23">
        <v>44985</v>
      </c>
      <c r="C69" s="23">
        <v>44987</v>
      </c>
      <c r="D69" s="21">
        <v>41</v>
      </c>
      <c r="E69" s="18">
        <v>1</v>
      </c>
      <c r="F69" s="18">
        <v>1</v>
      </c>
      <c r="G69" s="18">
        <v>1</v>
      </c>
      <c r="H69" s="18">
        <v>1</v>
      </c>
      <c r="I69" s="14">
        <f t="shared" si="1"/>
        <v>1</v>
      </c>
      <c r="J69" s="12">
        <v>0</v>
      </c>
      <c r="K69" s="11">
        <v>0</v>
      </c>
      <c r="L69" s="12">
        <v>0</v>
      </c>
      <c r="M69" s="11" t="s">
        <v>61</v>
      </c>
      <c r="N69" s="11">
        <v>0</v>
      </c>
      <c r="O69" s="13">
        <v>1</v>
      </c>
      <c r="P69" s="12">
        <v>1</v>
      </c>
      <c r="Q69" s="14" t="s">
        <v>115</v>
      </c>
      <c r="R69" s="12">
        <v>4</v>
      </c>
      <c r="S69" s="12">
        <v>1</v>
      </c>
      <c r="T69" s="12" t="s">
        <v>144</v>
      </c>
      <c r="U69" s="12" t="s">
        <v>61</v>
      </c>
      <c r="W69" s="13">
        <v>100</v>
      </c>
      <c r="X69" s="13">
        <v>7</v>
      </c>
      <c r="Y69" s="13">
        <v>0</v>
      </c>
      <c r="Z69" s="13" t="s">
        <v>61</v>
      </c>
      <c r="AA69" s="11" t="s">
        <v>61</v>
      </c>
      <c r="AC69" s="13">
        <v>1</v>
      </c>
      <c r="AD69" s="13">
        <v>1</v>
      </c>
      <c r="AE69" s="13">
        <v>1</v>
      </c>
      <c r="AG69" s="12">
        <v>1</v>
      </c>
      <c r="AI69" s="17" t="s">
        <v>69</v>
      </c>
      <c r="AJ69" s="17" t="s">
        <v>69</v>
      </c>
      <c r="AK69" s="17" t="s">
        <v>69</v>
      </c>
      <c r="AL69" s="17" t="s">
        <v>69</v>
      </c>
      <c r="AM69" s="17" t="s">
        <v>61</v>
      </c>
      <c r="AN69" s="17" t="s">
        <v>65</v>
      </c>
      <c r="AO69" s="17" t="s">
        <v>69</v>
      </c>
      <c r="AP69" s="17" t="s">
        <v>69</v>
      </c>
      <c r="AQ69" s="17" t="s">
        <v>69</v>
      </c>
      <c r="AR69" s="17" t="s">
        <v>65</v>
      </c>
      <c r="AS69" s="17" t="s">
        <v>69</v>
      </c>
      <c r="AT69" s="17" t="s">
        <v>65</v>
      </c>
      <c r="AU69" s="17" t="s">
        <v>65</v>
      </c>
      <c r="AV69" s="17" t="s">
        <v>65</v>
      </c>
      <c r="AW69" s="17" t="s">
        <v>65</v>
      </c>
    </row>
    <row r="70" spans="1:49">
      <c r="A70" s="10">
        <v>63</v>
      </c>
      <c r="B70" s="23">
        <v>44992</v>
      </c>
      <c r="C70" s="23">
        <v>44994</v>
      </c>
      <c r="D70" s="21">
        <v>44</v>
      </c>
      <c r="E70" s="18">
        <v>1</v>
      </c>
      <c r="F70" s="18">
        <v>1</v>
      </c>
      <c r="G70" s="18">
        <v>0</v>
      </c>
      <c r="H70" s="18" t="s">
        <v>60</v>
      </c>
      <c r="I70" s="14">
        <f t="shared" si="1"/>
        <v>0</v>
      </c>
      <c r="J70" s="12">
        <v>0</v>
      </c>
      <c r="K70" s="11">
        <v>100</v>
      </c>
      <c r="L70" s="12">
        <v>0</v>
      </c>
      <c r="M70" s="11" t="s">
        <v>79</v>
      </c>
      <c r="N70" s="11">
        <v>1</v>
      </c>
      <c r="O70" s="13">
        <v>1</v>
      </c>
      <c r="P70" s="12">
        <v>1</v>
      </c>
      <c r="Q70" s="14" t="s">
        <v>115</v>
      </c>
      <c r="R70" s="12">
        <v>4</v>
      </c>
      <c r="S70" s="12">
        <v>1</v>
      </c>
      <c r="T70" s="12" t="s">
        <v>144</v>
      </c>
      <c r="U70" s="12" t="s">
        <v>61</v>
      </c>
      <c r="V70" s="15" t="s">
        <v>179</v>
      </c>
      <c r="W70" s="13">
        <v>100</v>
      </c>
      <c r="X70" s="13">
        <v>7</v>
      </c>
      <c r="Y70" s="13">
        <v>0</v>
      </c>
      <c r="Z70" s="13" t="s">
        <v>61</v>
      </c>
      <c r="AA70" s="11" t="s">
        <v>61</v>
      </c>
      <c r="AC70" s="13">
        <v>1</v>
      </c>
      <c r="AD70" s="13">
        <v>1</v>
      </c>
      <c r="AE70" s="13">
        <v>1</v>
      </c>
      <c r="AG70" s="12">
        <v>1</v>
      </c>
      <c r="AH70" s="16" t="s">
        <v>178</v>
      </c>
      <c r="AI70" s="17" t="s">
        <v>69</v>
      </c>
      <c r="AJ70" s="17" t="s">
        <v>69</v>
      </c>
      <c r="AK70" s="17" t="s">
        <v>69</v>
      </c>
      <c r="AL70" s="17" t="s">
        <v>69</v>
      </c>
      <c r="AM70" s="17" t="s">
        <v>61</v>
      </c>
      <c r="AN70" s="17" t="s">
        <v>65</v>
      </c>
      <c r="AO70" s="17" t="s">
        <v>65</v>
      </c>
      <c r="AP70" s="17" t="s">
        <v>69</v>
      </c>
      <c r="AQ70" s="17" t="s">
        <v>69</v>
      </c>
      <c r="AR70" s="17" t="s">
        <v>65</v>
      </c>
      <c r="AS70" s="17" t="s">
        <v>69</v>
      </c>
      <c r="AT70" s="17" t="s">
        <v>65</v>
      </c>
      <c r="AU70" s="17" t="s">
        <v>65</v>
      </c>
      <c r="AV70" s="17" t="s">
        <v>65</v>
      </c>
      <c r="AW70" s="17" t="s">
        <v>65</v>
      </c>
    </row>
    <row r="71" spans="1:49">
      <c r="A71" s="10">
        <v>64</v>
      </c>
      <c r="B71" s="23">
        <v>44999</v>
      </c>
      <c r="C71" s="23">
        <v>45001</v>
      </c>
      <c r="D71" s="21">
        <v>44.5</v>
      </c>
      <c r="E71" s="18">
        <v>1</v>
      </c>
      <c r="F71" s="18">
        <v>1</v>
      </c>
      <c r="G71" s="18">
        <v>0</v>
      </c>
      <c r="H71" s="18" t="s">
        <v>60</v>
      </c>
      <c r="I71" s="14">
        <f t="shared" si="1"/>
        <v>0</v>
      </c>
      <c r="J71" s="12">
        <v>0</v>
      </c>
      <c r="K71" s="11">
        <v>100</v>
      </c>
      <c r="L71" s="12">
        <v>0</v>
      </c>
      <c r="M71" s="11" t="s">
        <v>79</v>
      </c>
      <c r="N71" s="11">
        <v>1</v>
      </c>
      <c r="O71" s="13">
        <v>1</v>
      </c>
      <c r="P71" s="12">
        <v>1</v>
      </c>
      <c r="Q71" s="14" t="s">
        <v>115</v>
      </c>
      <c r="R71" s="12">
        <v>4</v>
      </c>
      <c r="S71" s="12">
        <v>1</v>
      </c>
      <c r="T71" s="12" t="s">
        <v>144</v>
      </c>
      <c r="U71" s="12" t="s">
        <v>61</v>
      </c>
      <c r="W71" s="13">
        <v>100</v>
      </c>
      <c r="X71" s="13">
        <v>7</v>
      </c>
      <c r="Y71" s="13">
        <v>0</v>
      </c>
      <c r="Z71" s="13" t="s">
        <v>61</v>
      </c>
      <c r="AA71" s="11" t="s">
        <v>61</v>
      </c>
      <c r="AC71" s="13">
        <v>1</v>
      </c>
      <c r="AD71" s="13">
        <v>1</v>
      </c>
      <c r="AE71" s="13">
        <v>1</v>
      </c>
      <c r="AG71" s="12">
        <v>1</v>
      </c>
      <c r="AH71" s="16" t="s">
        <v>178</v>
      </c>
      <c r="AI71" s="17" t="s">
        <v>69</v>
      </c>
      <c r="AJ71" s="17" t="s">
        <v>69</v>
      </c>
      <c r="AK71" s="17" t="s">
        <v>69</v>
      </c>
      <c r="AL71" s="17" t="s">
        <v>69</v>
      </c>
      <c r="AM71" s="17" t="s">
        <v>61</v>
      </c>
      <c r="AN71" s="17" t="s">
        <v>65</v>
      </c>
      <c r="AO71" s="17" t="s">
        <v>65</v>
      </c>
      <c r="AP71" s="17" t="s">
        <v>69</v>
      </c>
      <c r="AQ71" s="17" t="s">
        <v>69</v>
      </c>
      <c r="AR71" s="17" t="s">
        <v>65</v>
      </c>
      <c r="AS71" s="17" t="s">
        <v>69</v>
      </c>
      <c r="AT71" s="17" t="s">
        <v>65</v>
      </c>
      <c r="AU71" s="17" t="s">
        <v>65</v>
      </c>
      <c r="AV71" s="17" t="s">
        <v>65</v>
      </c>
      <c r="AW71" s="17" t="s">
        <v>65</v>
      </c>
    </row>
    <row r="72" spans="1:49" ht="36">
      <c r="A72" s="10">
        <v>65</v>
      </c>
      <c r="B72" s="23">
        <v>45020</v>
      </c>
      <c r="C72" s="23">
        <v>45021</v>
      </c>
      <c r="D72" s="21">
        <v>43</v>
      </c>
      <c r="E72" s="18">
        <v>1</v>
      </c>
      <c r="F72" s="18">
        <v>1</v>
      </c>
      <c r="G72" s="18">
        <v>1</v>
      </c>
      <c r="H72" s="18">
        <v>1</v>
      </c>
      <c r="I72" s="14">
        <f t="shared" si="1"/>
        <v>1</v>
      </c>
      <c r="J72" s="12">
        <v>0</v>
      </c>
      <c r="K72" s="11">
        <v>100</v>
      </c>
      <c r="L72" s="12">
        <v>0</v>
      </c>
      <c r="M72" s="11" t="s">
        <v>79</v>
      </c>
      <c r="N72" s="11">
        <v>0</v>
      </c>
      <c r="O72" s="13">
        <v>1</v>
      </c>
      <c r="P72" s="12">
        <v>1</v>
      </c>
      <c r="Q72" s="14" t="s">
        <v>115</v>
      </c>
      <c r="R72" s="12">
        <v>4</v>
      </c>
      <c r="S72" s="12">
        <v>1</v>
      </c>
      <c r="T72" s="12" t="s">
        <v>144</v>
      </c>
      <c r="U72" s="12" t="s">
        <v>61</v>
      </c>
      <c r="V72" s="28" t="s">
        <v>180</v>
      </c>
      <c r="W72" s="13">
        <v>100</v>
      </c>
      <c r="X72" s="13">
        <v>6</v>
      </c>
      <c r="Y72" s="13">
        <v>1</v>
      </c>
      <c r="Z72" s="13">
        <v>1</v>
      </c>
      <c r="AA72" s="11">
        <v>30</v>
      </c>
      <c r="AB72" s="25" t="s">
        <v>181</v>
      </c>
      <c r="AC72" s="13">
        <v>1</v>
      </c>
      <c r="AD72" s="13">
        <v>1</v>
      </c>
      <c r="AE72" s="13">
        <v>0</v>
      </c>
      <c r="AG72" s="12">
        <v>1</v>
      </c>
      <c r="AH72" s="16" t="s">
        <v>182</v>
      </c>
      <c r="AI72" s="17" t="s">
        <v>69</v>
      </c>
      <c r="AJ72" s="17" t="s">
        <v>69</v>
      </c>
      <c r="AK72" s="17" t="s">
        <v>69</v>
      </c>
      <c r="AL72" s="17" t="s">
        <v>69</v>
      </c>
      <c r="AM72" s="17" t="s">
        <v>61</v>
      </c>
      <c r="AN72" s="17" t="s">
        <v>65</v>
      </c>
      <c r="AO72" s="17" t="s">
        <v>69</v>
      </c>
      <c r="AP72" s="17" t="s">
        <v>69</v>
      </c>
      <c r="AQ72" s="17" t="s">
        <v>69</v>
      </c>
      <c r="AR72" s="17" t="s">
        <v>65</v>
      </c>
      <c r="AS72" s="17" t="s">
        <v>69</v>
      </c>
      <c r="AT72" s="17" t="s">
        <v>65</v>
      </c>
      <c r="AU72" s="17" t="s">
        <v>65</v>
      </c>
      <c r="AV72" s="17" t="s">
        <v>65</v>
      </c>
      <c r="AW72" s="17" t="s">
        <v>65</v>
      </c>
    </row>
    <row r="73" spans="1:49">
      <c r="A73" s="10">
        <v>66</v>
      </c>
      <c r="B73" s="23">
        <v>45028</v>
      </c>
      <c r="C73" s="23">
        <v>45030</v>
      </c>
      <c r="D73" s="21">
        <v>45</v>
      </c>
      <c r="E73" s="18">
        <v>1</v>
      </c>
      <c r="F73" s="18">
        <v>1</v>
      </c>
      <c r="G73" s="18">
        <v>1</v>
      </c>
      <c r="H73" s="18">
        <v>0</v>
      </c>
      <c r="I73" s="14">
        <f t="shared" si="1"/>
        <v>0</v>
      </c>
      <c r="J73" s="12">
        <v>0</v>
      </c>
      <c r="K73" s="11">
        <v>0</v>
      </c>
      <c r="L73" s="12">
        <v>0</v>
      </c>
      <c r="M73" s="11" t="s">
        <v>61</v>
      </c>
      <c r="N73" s="11">
        <v>0</v>
      </c>
      <c r="O73" s="13">
        <v>1</v>
      </c>
      <c r="P73" s="12">
        <v>1</v>
      </c>
      <c r="Q73" s="14" t="s">
        <v>115</v>
      </c>
      <c r="R73" s="12">
        <v>4</v>
      </c>
      <c r="S73" s="12">
        <v>1</v>
      </c>
      <c r="T73" s="12" t="s">
        <v>144</v>
      </c>
      <c r="U73" s="12" t="s">
        <v>61</v>
      </c>
      <c r="W73" s="13">
        <v>100</v>
      </c>
      <c r="X73" s="13">
        <v>7</v>
      </c>
      <c r="Y73" s="13">
        <v>0</v>
      </c>
      <c r="Z73" s="13" t="s">
        <v>61</v>
      </c>
      <c r="AA73" s="11" t="s">
        <v>61</v>
      </c>
      <c r="AC73" s="13">
        <v>1</v>
      </c>
      <c r="AD73" s="13">
        <v>1</v>
      </c>
      <c r="AE73" s="13">
        <v>1</v>
      </c>
      <c r="AG73" s="12">
        <v>1</v>
      </c>
      <c r="AH73" s="16" t="s">
        <v>178</v>
      </c>
      <c r="AI73" s="17" t="s">
        <v>69</v>
      </c>
      <c r="AJ73" s="17" t="s">
        <v>69</v>
      </c>
      <c r="AK73" s="17" t="s">
        <v>69</v>
      </c>
      <c r="AL73" s="17" t="s">
        <v>69</v>
      </c>
      <c r="AM73" s="17" t="s">
        <v>61</v>
      </c>
      <c r="AN73" s="17" t="s">
        <v>65</v>
      </c>
      <c r="AO73" s="17" t="s">
        <v>65</v>
      </c>
      <c r="AP73" s="17" t="s">
        <v>69</v>
      </c>
      <c r="AQ73" s="17" t="s">
        <v>69</v>
      </c>
      <c r="AR73" s="17" t="s">
        <v>65</v>
      </c>
      <c r="AS73" s="17" t="s">
        <v>69</v>
      </c>
      <c r="AT73" s="17" t="s">
        <v>65</v>
      </c>
      <c r="AU73" s="17" t="s">
        <v>65</v>
      </c>
      <c r="AV73" s="17" t="s">
        <v>65</v>
      </c>
      <c r="AW73" s="17" t="s">
        <v>65</v>
      </c>
    </row>
    <row r="74" spans="1:49">
      <c r="A74" s="10">
        <v>67</v>
      </c>
      <c r="B74" s="23">
        <v>45034</v>
      </c>
      <c r="C74" s="23">
        <v>45036</v>
      </c>
      <c r="D74" s="21">
        <v>40</v>
      </c>
      <c r="E74" s="18">
        <v>1</v>
      </c>
      <c r="F74" s="18">
        <v>1</v>
      </c>
      <c r="G74" s="18">
        <v>1</v>
      </c>
      <c r="H74" s="18">
        <v>1</v>
      </c>
      <c r="I74" s="14">
        <f t="shared" si="1"/>
        <v>1</v>
      </c>
      <c r="J74" s="12">
        <v>0</v>
      </c>
      <c r="K74" s="11">
        <v>0</v>
      </c>
      <c r="L74" s="12">
        <v>0</v>
      </c>
      <c r="M74" s="11" t="s">
        <v>61</v>
      </c>
      <c r="N74" s="11">
        <v>0</v>
      </c>
      <c r="O74" s="13">
        <v>1</v>
      </c>
      <c r="P74" s="12">
        <v>1</v>
      </c>
      <c r="Q74" s="14" t="s">
        <v>115</v>
      </c>
      <c r="R74" s="12">
        <v>4</v>
      </c>
      <c r="S74" s="12">
        <v>1</v>
      </c>
      <c r="T74" s="12" t="s">
        <v>144</v>
      </c>
      <c r="U74" s="12" t="s">
        <v>61</v>
      </c>
      <c r="V74" s="28" t="s">
        <v>183</v>
      </c>
      <c r="W74" s="13">
        <v>100</v>
      </c>
      <c r="X74" s="13">
        <v>7</v>
      </c>
      <c r="Y74" s="13">
        <v>0</v>
      </c>
      <c r="Z74" s="13" t="s">
        <v>61</v>
      </c>
      <c r="AA74" s="11" t="s">
        <v>61</v>
      </c>
      <c r="AC74" s="13">
        <v>1</v>
      </c>
      <c r="AD74" s="13">
        <v>1</v>
      </c>
      <c r="AE74" s="13">
        <v>1</v>
      </c>
      <c r="AG74" s="12">
        <v>1</v>
      </c>
      <c r="AH74" s="16" t="s">
        <v>184</v>
      </c>
      <c r="AI74" s="17" t="s">
        <v>69</v>
      </c>
      <c r="AJ74" s="17" t="s">
        <v>69</v>
      </c>
      <c r="AK74" s="17" t="s">
        <v>69</v>
      </c>
      <c r="AL74" s="17" t="s">
        <v>69</v>
      </c>
      <c r="AM74" s="17" t="s">
        <v>61</v>
      </c>
      <c r="AN74" s="17" t="s">
        <v>65</v>
      </c>
      <c r="AO74" s="17" t="s">
        <v>69</v>
      </c>
      <c r="AP74" s="17" t="s">
        <v>69</v>
      </c>
      <c r="AQ74" s="17" t="s">
        <v>69</v>
      </c>
      <c r="AR74" s="17" t="s">
        <v>65</v>
      </c>
      <c r="AS74" s="17" t="s">
        <v>69</v>
      </c>
      <c r="AT74" s="17" t="s">
        <v>65</v>
      </c>
      <c r="AU74" s="17" t="s">
        <v>65</v>
      </c>
      <c r="AV74" s="17" t="s">
        <v>65</v>
      </c>
      <c r="AW74" s="17" t="s">
        <v>65</v>
      </c>
    </row>
    <row r="75" spans="1:49">
      <c r="A75" s="10">
        <v>68</v>
      </c>
      <c r="B75" s="23">
        <v>45041</v>
      </c>
      <c r="C75" s="23">
        <v>45043</v>
      </c>
      <c r="D75" s="21">
        <v>45.5</v>
      </c>
      <c r="E75" s="18">
        <v>1</v>
      </c>
      <c r="F75" s="18">
        <v>0</v>
      </c>
      <c r="G75" s="18">
        <v>1</v>
      </c>
      <c r="H75" s="18" t="s">
        <v>60</v>
      </c>
      <c r="I75" s="14">
        <f t="shared" si="1"/>
        <v>0</v>
      </c>
      <c r="J75" s="12">
        <v>1</v>
      </c>
      <c r="K75" s="11">
        <v>100</v>
      </c>
      <c r="L75" s="12">
        <v>0</v>
      </c>
      <c r="M75" s="11" t="s">
        <v>79</v>
      </c>
      <c r="N75" s="11">
        <v>0</v>
      </c>
      <c r="O75" s="13">
        <v>1</v>
      </c>
      <c r="P75" s="12">
        <v>1</v>
      </c>
      <c r="Q75" s="14" t="s">
        <v>115</v>
      </c>
      <c r="R75" s="12">
        <v>4</v>
      </c>
      <c r="S75" s="12">
        <v>1</v>
      </c>
      <c r="T75" s="12" t="s">
        <v>144</v>
      </c>
      <c r="U75" s="12" t="s">
        <v>61</v>
      </c>
      <c r="V75" s="28" t="s">
        <v>185</v>
      </c>
      <c r="W75" s="13">
        <v>100</v>
      </c>
      <c r="X75" s="13">
        <v>7</v>
      </c>
      <c r="Y75" s="13">
        <v>0</v>
      </c>
      <c r="Z75" s="13" t="s">
        <v>61</v>
      </c>
      <c r="AA75" s="11" t="s">
        <v>61</v>
      </c>
      <c r="AC75" s="13">
        <v>1</v>
      </c>
      <c r="AD75" s="13">
        <v>1</v>
      </c>
      <c r="AE75" s="13">
        <v>1</v>
      </c>
      <c r="AG75" s="12">
        <v>1</v>
      </c>
      <c r="AH75" s="16" t="s">
        <v>186</v>
      </c>
      <c r="AI75" s="17" t="s">
        <v>69</v>
      </c>
      <c r="AJ75" s="17" t="s">
        <v>69</v>
      </c>
      <c r="AK75" s="17" t="s">
        <v>69</v>
      </c>
      <c r="AL75" s="17" t="s">
        <v>69</v>
      </c>
      <c r="AM75" s="17" t="s">
        <v>61</v>
      </c>
      <c r="AN75" s="17" t="s">
        <v>65</v>
      </c>
      <c r="AO75" s="17" t="s">
        <v>61</v>
      </c>
      <c r="AP75" s="17" t="s">
        <v>69</v>
      </c>
      <c r="AQ75" s="17" t="s">
        <v>69</v>
      </c>
      <c r="AR75" s="17" t="s">
        <v>61</v>
      </c>
      <c r="AS75" s="17" t="s">
        <v>61</v>
      </c>
      <c r="AT75" s="17" t="s">
        <v>61</v>
      </c>
      <c r="AU75" s="17" t="s">
        <v>61</v>
      </c>
      <c r="AV75" s="17" t="s">
        <v>61</v>
      </c>
      <c r="AW75" s="17" t="s">
        <v>61</v>
      </c>
    </row>
    <row r="76" spans="1:49">
      <c r="A76" s="10">
        <v>69</v>
      </c>
      <c r="B76" s="23">
        <v>45048</v>
      </c>
      <c r="C76" s="23">
        <v>45050</v>
      </c>
      <c r="D76" s="21">
        <v>43.5</v>
      </c>
      <c r="E76" s="18">
        <v>1</v>
      </c>
      <c r="F76" s="18">
        <v>1</v>
      </c>
      <c r="G76" s="18">
        <v>1</v>
      </c>
      <c r="H76" s="18">
        <v>0</v>
      </c>
      <c r="I76" s="14">
        <f t="shared" si="1"/>
        <v>0</v>
      </c>
      <c r="J76" s="12">
        <v>0</v>
      </c>
      <c r="K76" s="11">
        <v>100</v>
      </c>
      <c r="L76" s="12">
        <v>0</v>
      </c>
      <c r="M76" s="11" t="s">
        <v>187</v>
      </c>
      <c r="N76" s="11">
        <v>1</v>
      </c>
      <c r="O76" s="13">
        <v>1</v>
      </c>
      <c r="P76" s="12">
        <v>1</v>
      </c>
      <c r="Q76" s="14" t="s">
        <v>115</v>
      </c>
      <c r="R76" s="12">
        <v>4</v>
      </c>
      <c r="S76" s="12">
        <v>1</v>
      </c>
      <c r="T76" s="12" t="s">
        <v>144</v>
      </c>
      <c r="U76" s="12" t="s">
        <v>61</v>
      </c>
      <c r="V76" s="15" t="s">
        <v>188</v>
      </c>
      <c r="W76" s="13">
        <v>100</v>
      </c>
      <c r="X76" s="13">
        <v>7</v>
      </c>
      <c r="Y76" s="13">
        <v>0</v>
      </c>
      <c r="Z76" s="13" t="s">
        <v>61</v>
      </c>
      <c r="AA76" s="11" t="s">
        <v>61</v>
      </c>
      <c r="AC76" s="13">
        <v>1</v>
      </c>
      <c r="AD76" s="13">
        <v>1</v>
      </c>
      <c r="AE76" s="13">
        <v>1</v>
      </c>
      <c r="AG76" s="12">
        <v>1</v>
      </c>
      <c r="AI76" s="17" t="s">
        <v>69</v>
      </c>
      <c r="AJ76" s="17" t="s">
        <v>69</v>
      </c>
      <c r="AK76" s="17" t="s">
        <v>69</v>
      </c>
      <c r="AL76" s="17" t="s">
        <v>69</v>
      </c>
      <c r="AM76" s="17" t="s">
        <v>61</v>
      </c>
      <c r="AN76" s="17" t="s">
        <v>65</v>
      </c>
      <c r="AO76" s="17" t="s">
        <v>65</v>
      </c>
      <c r="AP76" s="17" t="s">
        <v>69</v>
      </c>
      <c r="AQ76" s="17" t="s">
        <v>69</v>
      </c>
      <c r="AR76" s="17" t="s">
        <v>65</v>
      </c>
      <c r="AS76" s="17" t="s">
        <v>69</v>
      </c>
      <c r="AT76" s="17" t="s">
        <v>65</v>
      </c>
      <c r="AU76" s="17" t="s">
        <v>65</v>
      </c>
      <c r="AV76" s="17" t="s">
        <v>65</v>
      </c>
      <c r="AW76" s="17" t="s">
        <v>65</v>
      </c>
    </row>
    <row r="77" spans="1:49">
      <c r="A77" s="10">
        <v>70</v>
      </c>
      <c r="B77" s="23">
        <v>45062</v>
      </c>
      <c r="C77" s="23">
        <v>45064</v>
      </c>
      <c r="D77" s="21">
        <v>42.5</v>
      </c>
      <c r="E77" s="18">
        <v>1</v>
      </c>
      <c r="F77" s="18">
        <v>1</v>
      </c>
      <c r="G77" s="18">
        <v>0</v>
      </c>
      <c r="H77" s="18" t="s">
        <v>60</v>
      </c>
      <c r="I77" s="14">
        <f t="shared" si="1"/>
        <v>0</v>
      </c>
      <c r="J77" s="12">
        <v>0</v>
      </c>
      <c r="K77" s="11">
        <v>100</v>
      </c>
      <c r="L77" s="12">
        <v>0</v>
      </c>
      <c r="M77" s="11" t="s">
        <v>187</v>
      </c>
      <c r="N77" s="11">
        <v>0</v>
      </c>
      <c r="O77" s="13">
        <v>1</v>
      </c>
      <c r="P77" s="12">
        <v>1</v>
      </c>
      <c r="Q77" s="14" t="s">
        <v>115</v>
      </c>
      <c r="R77" s="12">
        <v>4</v>
      </c>
      <c r="S77" s="12">
        <v>1</v>
      </c>
      <c r="T77" s="12" t="s">
        <v>144</v>
      </c>
      <c r="U77" s="12" t="s">
        <v>61</v>
      </c>
      <c r="W77" s="13">
        <v>100</v>
      </c>
      <c r="X77" s="13">
        <v>7</v>
      </c>
      <c r="Y77" s="13">
        <v>0</v>
      </c>
      <c r="Z77" s="13" t="s">
        <v>61</v>
      </c>
      <c r="AA77" s="11" t="s">
        <v>61</v>
      </c>
      <c r="AC77" s="13">
        <v>1</v>
      </c>
      <c r="AD77" s="13">
        <v>1</v>
      </c>
      <c r="AE77" s="13">
        <v>1</v>
      </c>
      <c r="AG77" s="12">
        <v>1</v>
      </c>
      <c r="AH77" s="16" t="s">
        <v>184</v>
      </c>
      <c r="AI77" s="17" t="s">
        <v>69</v>
      </c>
      <c r="AJ77" s="17" t="s">
        <v>69</v>
      </c>
      <c r="AK77" s="17" t="s">
        <v>69</v>
      </c>
      <c r="AL77" s="17" t="s">
        <v>69</v>
      </c>
      <c r="AM77" s="17" t="s">
        <v>61</v>
      </c>
      <c r="AN77" s="17" t="s">
        <v>65</v>
      </c>
      <c r="AO77" s="17" t="s">
        <v>65</v>
      </c>
      <c r="AP77" s="17" t="s">
        <v>69</v>
      </c>
      <c r="AQ77" s="17" t="s">
        <v>69</v>
      </c>
      <c r="AR77" s="17" t="s">
        <v>65</v>
      </c>
      <c r="AS77" s="17" t="s">
        <v>69</v>
      </c>
      <c r="AT77" s="17" t="s">
        <v>65</v>
      </c>
      <c r="AU77" s="17" t="s">
        <v>65</v>
      </c>
      <c r="AV77" s="17" t="s">
        <v>65</v>
      </c>
      <c r="AW77" s="17" t="s">
        <v>65</v>
      </c>
    </row>
    <row r="78" spans="1:49">
      <c r="A78" s="10">
        <v>71</v>
      </c>
      <c r="B78" s="23">
        <v>45069</v>
      </c>
      <c r="C78" s="23">
        <v>45071</v>
      </c>
      <c r="D78" s="21">
        <v>46</v>
      </c>
      <c r="E78" s="18">
        <v>1</v>
      </c>
      <c r="F78" s="18">
        <v>1</v>
      </c>
      <c r="G78" s="18">
        <v>1</v>
      </c>
      <c r="H78" s="18">
        <v>1</v>
      </c>
      <c r="I78" s="14">
        <f t="shared" si="1"/>
        <v>1</v>
      </c>
      <c r="J78" s="12">
        <v>0</v>
      </c>
      <c r="K78" s="11">
        <v>100</v>
      </c>
      <c r="L78" s="12">
        <v>0</v>
      </c>
      <c r="M78" s="11" t="s">
        <v>187</v>
      </c>
      <c r="N78" s="11">
        <v>1</v>
      </c>
      <c r="O78" s="13">
        <v>1</v>
      </c>
      <c r="P78" s="12">
        <v>1</v>
      </c>
      <c r="Q78" s="14" t="s">
        <v>115</v>
      </c>
      <c r="R78" s="12">
        <v>4</v>
      </c>
      <c r="S78" s="12">
        <v>1</v>
      </c>
      <c r="T78" s="12" t="s">
        <v>144</v>
      </c>
      <c r="U78" s="12" t="s">
        <v>61</v>
      </c>
      <c r="W78" s="13">
        <v>100</v>
      </c>
      <c r="X78" s="13">
        <v>7</v>
      </c>
      <c r="Y78" s="13">
        <v>0</v>
      </c>
      <c r="Z78" s="13" t="s">
        <v>61</v>
      </c>
      <c r="AA78" s="11" t="s">
        <v>61</v>
      </c>
      <c r="AC78" s="13">
        <v>1</v>
      </c>
      <c r="AD78" s="13">
        <v>1</v>
      </c>
      <c r="AE78" s="13">
        <v>1</v>
      </c>
      <c r="AG78" s="12">
        <v>1</v>
      </c>
      <c r="AH78" s="16" t="s">
        <v>189</v>
      </c>
      <c r="AI78" s="17" t="s">
        <v>69</v>
      </c>
      <c r="AJ78" s="17" t="s">
        <v>69</v>
      </c>
      <c r="AK78" s="17" t="s">
        <v>69</v>
      </c>
      <c r="AL78" s="17" t="s">
        <v>69</v>
      </c>
      <c r="AM78" s="17" t="s">
        <v>61</v>
      </c>
      <c r="AN78" s="17" t="s">
        <v>65</v>
      </c>
      <c r="AO78" s="17" t="s">
        <v>69</v>
      </c>
      <c r="AP78" s="17" t="s">
        <v>69</v>
      </c>
      <c r="AQ78" s="17" t="s">
        <v>69</v>
      </c>
      <c r="AR78" s="17" t="s">
        <v>65</v>
      </c>
      <c r="AS78" s="17" t="s">
        <v>69</v>
      </c>
      <c r="AT78" s="17" t="s">
        <v>65</v>
      </c>
      <c r="AU78" s="17" t="s">
        <v>65</v>
      </c>
      <c r="AV78" s="17" t="s">
        <v>65</v>
      </c>
      <c r="AW78" s="17" t="s">
        <v>65</v>
      </c>
    </row>
    <row r="79" spans="1:49">
      <c r="A79" s="10">
        <v>72</v>
      </c>
      <c r="B79" s="23">
        <v>45083</v>
      </c>
      <c r="C79" s="23">
        <v>45085</v>
      </c>
      <c r="D79" s="21">
        <v>40</v>
      </c>
      <c r="E79" s="18">
        <v>1</v>
      </c>
      <c r="F79" s="18">
        <v>1</v>
      </c>
      <c r="G79" s="18">
        <v>0</v>
      </c>
      <c r="H79" s="18" t="s">
        <v>60</v>
      </c>
      <c r="I79" s="14">
        <f t="shared" si="1"/>
        <v>0</v>
      </c>
      <c r="J79" s="12">
        <v>0</v>
      </c>
      <c r="K79" s="11">
        <v>0</v>
      </c>
      <c r="L79" s="12">
        <v>0</v>
      </c>
      <c r="M79" s="11" t="s">
        <v>61</v>
      </c>
      <c r="N79" s="11">
        <v>0</v>
      </c>
      <c r="O79" s="13">
        <v>1</v>
      </c>
      <c r="P79" s="12">
        <v>1</v>
      </c>
      <c r="Q79" s="14" t="s">
        <v>115</v>
      </c>
      <c r="R79" s="12">
        <v>4</v>
      </c>
      <c r="S79" s="12">
        <v>1</v>
      </c>
      <c r="T79" s="12" t="s">
        <v>144</v>
      </c>
      <c r="U79" s="12" t="s">
        <v>61</v>
      </c>
      <c r="W79" s="13">
        <v>100</v>
      </c>
      <c r="X79" s="13">
        <v>7</v>
      </c>
      <c r="Y79" s="13">
        <v>0</v>
      </c>
      <c r="Z79" s="13" t="s">
        <v>61</v>
      </c>
      <c r="AA79" s="11" t="s">
        <v>61</v>
      </c>
      <c r="AC79" s="13">
        <v>1</v>
      </c>
      <c r="AD79" s="13">
        <v>1</v>
      </c>
      <c r="AE79" s="13">
        <v>1</v>
      </c>
      <c r="AG79" s="12">
        <v>1</v>
      </c>
      <c r="AH79" s="16" t="s">
        <v>190</v>
      </c>
      <c r="AI79" s="17" t="s">
        <v>69</v>
      </c>
      <c r="AJ79" s="17" t="s">
        <v>69</v>
      </c>
      <c r="AK79" s="17" t="s">
        <v>69</v>
      </c>
      <c r="AL79" s="17" t="s">
        <v>69</v>
      </c>
      <c r="AM79" s="17" t="s">
        <v>61</v>
      </c>
      <c r="AN79" s="17" t="s">
        <v>65</v>
      </c>
      <c r="AO79" s="17" t="s">
        <v>65</v>
      </c>
      <c r="AP79" s="17" t="s">
        <v>69</v>
      </c>
      <c r="AQ79" s="17" t="s">
        <v>69</v>
      </c>
      <c r="AR79" s="17" t="s">
        <v>65</v>
      </c>
      <c r="AS79" s="17" t="s">
        <v>69</v>
      </c>
      <c r="AT79" s="17" t="s">
        <v>65</v>
      </c>
      <c r="AU79" s="17" t="s">
        <v>65</v>
      </c>
      <c r="AV79" s="17" t="s">
        <v>65</v>
      </c>
      <c r="AW79" s="17" t="s">
        <v>65</v>
      </c>
    </row>
    <row r="80" spans="1:49">
      <c r="A80" s="10">
        <v>73</v>
      </c>
      <c r="B80" s="23">
        <v>45090</v>
      </c>
      <c r="C80" s="23">
        <v>45092</v>
      </c>
      <c r="D80" s="21">
        <v>42.5</v>
      </c>
      <c r="E80" s="18">
        <v>1</v>
      </c>
      <c r="F80" s="18">
        <v>1</v>
      </c>
      <c r="G80" s="18">
        <v>1</v>
      </c>
      <c r="H80" s="18">
        <v>1</v>
      </c>
      <c r="I80" s="14">
        <f t="shared" si="1"/>
        <v>1</v>
      </c>
      <c r="J80" s="12">
        <v>0</v>
      </c>
      <c r="K80" s="11">
        <v>100</v>
      </c>
      <c r="L80" s="12">
        <v>0</v>
      </c>
      <c r="M80" s="11" t="s">
        <v>187</v>
      </c>
      <c r="N80" s="11">
        <v>0</v>
      </c>
      <c r="O80" s="13">
        <v>1</v>
      </c>
      <c r="P80" s="12">
        <v>1</v>
      </c>
      <c r="Q80" s="14" t="s">
        <v>115</v>
      </c>
      <c r="R80" s="12">
        <v>4</v>
      </c>
      <c r="S80" s="12">
        <v>1</v>
      </c>
      <c r="T80" s="12" t="s">
        <v>191</v>
      </c>
      <c r="U80" s="12" t="s">
        <v>61</v>
      </c>
      <c r="V80" s="28" t="s">
        <v>192</v>
      </c>
      <c r="W80" s="13">
        <v>100</v>
      </c>
      <c r="X80" s="13">
        <v>6</v>
      </c>
      <c r="Y80" s="13">
        <v>1</v>
      </c>
      <c r="Z80" s="13">
        <v>0</v>
      </c>
      <c r="AA80" s="11">
        <v>38.5</v>
      </c>
      <c r="AB80" s="16" t="s">
        <v>193</v>
      </c>
      <c r="AC80" s="13">
        <v>1</v>
      </c>
      <c r="AD80" s="13">
        <v>1</v>
      </c>
      <c r="AE80" s="13">
        <v>0</v>
      </c>
      <c r="AG80" s="12">
        <v>1</v>
      </c>
      <c r="AH80" s="16" t="s">
        <v>184</v>
      </c>
      <c r="AI80" s="17" t="s">
        <v>69</v>
      </c>
      <c r="AJ80" s="17" t="s">
        <v>69</v>
      </c>
      <c r="AK80" s="17" t="s">
        <v>69</v>
      </c>
      <c r="AL80" s="17" t="s">
        <v>69</v>
      </c>
      <c r="AM80" s="17" t="s">
        <v>61</v>
      </c>
      <c r="AN80" s="17" t="s">
        <v>65</v>
      </c>
      <c r="AO80" s="17" t="s">
        <v>69</v>
      </c>
      <c r="AP80" s="17" t="s">
        <v>69</v>
      </c>
      <c r="AQ80" s="17" t="s">
        <v>69</v>
      </c>
      <c r="AR80" s="17" t="s">
        <v>65</v>
      </c>
      <c r="AS80" s="17" t="s">
        <v>69</v>
      </c>
      <c r="AT80" s="17" t="s">
        <v>65</v>
      </c>
      <c r="AU80" s="17" t="s">
        <v>65</v>
      </c>
      <c r="AV80" s="17" t="s">
        <v>65</v>
      </c>
      <c r="AW80" s="17" t="s">
        <v>65</v>
      </c>
    </row>
    <row r="81" spans="1:49">
      <c r="A81" s="10">
        <v>74</v>
      </c>
      <c r="B81" s="23">
        <v>45097</v>
      </c>
      <c r="C81" s="23">
        <v>45099</v>
      </c>
      <c r="D81" s="21">
        <v>41.5</v>
      </c>
      <c r="E81" s="18">
        <v>1</v>
      </c>
      <c r="F81" s="18">
        <v>1</v>
      </c>
      <c r="G81" s="18">
        <v>1</v>
      </c>
      <c r="H81" s="18">
        <v>1</v>
      </c>
      <c r="I81" s="14">
        <f t="shared" si="1"/>
        <v>1</v>
      </c>
      <c r="J81" s="12">
        <v>0</v>
      </c>
      <c r="K81" s="11">
        <v>100</v>
      </c>
      <c r="L81" s="12">
        <v>0</v>
      </c>
      <c r="M81" s="11" t="s">
        <v>187</v>
      </c>
      <c r="N81" s="11">
        <v>0</v>
      </c>
      <c r="O81" s="13">
        <v>1</v>
      </c>
      <c r="P81" s="12">
        <v>1</v>
      </c>
      <c r="Q81" s="14" t="s">
        <v>115</v>
      </c>
      <c r="R81" s="12">
        <v>4</v>
      </c>
      <c r="S81" s="12">
        <v>1</v>
      </c>
      <c r="T81" s="12" t="s">
        <v>194</v>
      </c>
      <c r="U81" s="12" t="s">
        <v>61</v>
      </c>
      <c r="W81" s="13">
        <v>100</v>
      </c>
      <c r="X81" s="13">
        <v>7</v>
      </c>
      <c r="Y81" s="13">
        <v>0</v>
      </c>
      <c r="Z81" s="13" t="s">
        <v>61</v>
      </c>
      <c r="AA81" s="11" t="s">
        <v>61</v>
      </c>
      <c r="AC81" s="13">
        <v>1</v>
      </c>
      <c r="AD81" s="13">
        <v>1</v>
      </c>
      <c r="AE81" s="13">
        <v>1</v>
      </c>
      <c r="AG81" s="12">
        <v>1</v>
      </c>
      <c r="AH81" s="16" t="s">
        <v>189</v>
      </c>
      <c r="AI81" s="17" t="s">
        <v>69</v>
      </c>
      <c r="AJ81" s="17" t="s">
        <v>69</v>
      </c>
      <c r="AK81" s="17" t="s">
        <v>69</v>
      </c>
      <c r="AL81" s="17" t="s">
        <v>69</v>
      </c>
      <c r="AM81" s="17" t="s">
        <v>61</v>
      </c>
      <c r="AN81" s="17" t="s">
        <v>65</v>
      </c>
      <c r="AO81" s="17" t="s">
        <v>69</v>
      </c>
      <c r="AP81" s="17" t="s">
        <v>69</v>
      </c>
      <c r="AQ81" s="17" t="s">
        <v>69</v>
      </c>
      <c r="AR81" s="17" t="s">
        <v>65</v>
      </c>
      <c r="AS81" s="17" t="s">
        <v>69</v>
      </c>
      <c r="AT81" s="17" t="s">
        <v>65</v>
      </c>
      <c r="AU81" s="17" t="s">
        <v>65</v>
      </c>
      <c r="AV81" s="17" t="s">
        <v>65</v>
      </c>
      <c r="AW81" s="17" t="s">
        <v>65</v>
      </c>
    </row>
    <row r="82" spans="1:49">
      <c r="A82" s="10">
        <v>75</v>
      </c>
      <c r="B82" s="23">
        <v>45103</v>
      </c>
      <c r="C82" s="23">
        <v>45105</v>
      </c>
      <c r="D82" s="21">
        <v>45.5</v>
      </c>
      <c r="E82" s="18">
        <v>1</v>
      </c>
      <c r="F82" s="18">
        <v>1</v>
      </c>
      <c r="G82" s="18">
        <v>0</v>
      </c>
      <c r="H82" s="18" t="s">
        <v>60</v>
      </c>
      <c r="I82" s="14">
        <f t="shared" si="1"/>
        <v>0</v>
      </c>
      <c r="J82" s="12">
        <v>0</v>
      </c>
      <c r="K82" s="11">
        <v>100</v>
      </c>
      <c r="L82" s="12">
        <v>0</v>
      </c>
      <c r="M82" s="11" t="s">
        <v>187</v>
      </c>
      <c r="N82" s="11">
        <v>1</v>
      </c>
      <c r="O82" s="13">
        <v>1</v>
      </c>
      <c r="P82" s="12">
        <v>1</v>
      </c>
      <c r="Q82" s="14" t="s">
        <v>115</v>
      </c>
      <c r="R82" s="12">
        <v>4</v>
      </c>
      <c r="S82" s="12">
        <v>1</v>
      </c>
      <c r="T82" s="12" t="s">
        <v>194</v>
      </c>
      <c r="U82" s="12" t="s">
        <v>61</v>
      </c>
      <c r="W82" s="13">
        <v>100</v>
      </c>
      <c r="X82" s="13">
        <v>7</v>
      </c>
      <c r="Y82" s="13">
        <v>0</v>
      </c>
      <c r="Z82" s="13" t="s">
        <v>61</v>
      </c>
      <c r="AA82" s="11" t="s">
        <v>61</v>
      </c>
      <c r="AC82" s="13">
        <v>1</v>
      </c>
      <c r="AD82" s="13">
        <v>1</v>
      </c>
      <c r="AE82" s="13">
        <v>1</v>
      </c>
      <c r="AF82" s="25" t="s">
        <v>177</v>
      </c>
      <c r="AG82" s="12">
        <v>1</v>
      </c>
      <c r="AH82" s="16" t="s">
        <v>195</v>
      </c>
      <c r="AI82" s="17" t="s">
        <v>69</v>
      </c>
      <c r="AJ82" s="17" t="s">
        <v>69</v>
      </c>
      <c r="AK82" s="17" t="s">
        <v>69</v>
      </c>
      <c r="AL82" s="17" t="s">
        <v>69</v>
      </c>
      <c r="AM82" s="17" t="s">
        <v>61</v>
      </c>
      <c r="AN82" s="17" t="s">
        <v>65</v>
      </c>
      <c r="AO82" s="17" t="s">
        <v>65</v>
      </c>
      <c r="AP82" s="17" t="s">
        <v>69</v>
      </c>
      <c r="AQ82" s="17" t="s">
        <v>69</v>
      </c>
      <c r="AR82" s="17" t="s">
        <v>65</v>
      </c>
      <c r="AS82" s="17" t="s">
        <v>69</v>
      </c>
      <c r="AT82" s="17" t="s">
        <v>65</v>
      </c>
      <c r="AU82" s="17" t="s">
        <v>65</v>
      </c>
      <c r="AV82" s="17" t="s">
        <v>65</v>
      </c>
      <c r="AW82" s="17" t="s">
        <v>65</v>
      </c>
    </row>
    <row r="83" spans="1:49">
      <c r="A83" s="10">
        <v>76</v>
      </c>
      <c r="B83" s="23">
        <v>45125</v>
      </c>
      <c r="C83" s="23">
        <v>45127</v>
      </c>
      <c r="D83" s="21">
        <v>45</v>
      </c>
      <c r="E83" s="18">
        <v>1</v>
      </c>
      <c r="F83" s="18">
        <v>1</v>
      </c>
      <c r="G83" s="18">
        <v>1</v>
      </c>
      <c r="H83" s="18">
        <v>0</v>
      </c>
      <c r="I83" s="14">
        <f t="shared" si="1"/>
        <v>0</v>
      </c>
      <c r="J83" s="12">
        <v>0</v>
      </c>
      <c r="K83" s="11">
        <v>0</v>
      </c>
      <c r="L83" s="12">
        <v>0</v>
      </c>
      <c r="M83" s="11" t="s">
        <v>61</v>
      </c>
      <c r="N83" s="11">
        <v>0</v>
      </c>
      <c r="O83" s="13">
        <v>1</v>
      </c>
      <c r="P83" s="12">
        <v>1</v>
      </c>
      <c r="Q83" s="14" t="s">
        <v>115</v>
      </c>
      <c r="R83" s="12">
        <v>4</v>
      </c>
      <c r="S83" s="12">
        <v>1</v>
      </c>
      <c r="T83" s="12" t="s">
        <v>196</v>
      </c>
      <c r="U83" s="12" t="s">
        <v>61</v>
      </c>
      <c r="V83" s="15" t="s">
        <v>197</v>
      </c>
      <c r="W83" s="13">
        <v>100</v>
      </c>
      <c r="X83" s="13">
        <v>7</v>
      </c>
      <c r="Y83" s="13">
        <v>0</v>
      </c>
      <c r="Z83" s="13" t="s">
        <v>61</v>
      </c>
      <c r="AA83" s="11" t="s">
        <v>61</v>
      </c>
      <c r="AC83" s="13">
        <v>1</v>
      </c>
      <c r="AD83" s="13">
        <v>1</v>
      </c>
      <c r="AE83" s="13">
        <v>1</v>
      </c>
      <c r="AG83" s="12">
        <v>1</v>
      </c>
      <c r="AI83" s="17" t="s">
        <v>69</v>
      </c>
      <c r="AJ83" s="17" t="s">
        <v>69</v>
      </c>
      <c r="AK83" s="17" t="s">
        <v>69</v>
      </c>
      <c r="AL83" s="17" t="s">
        <v>69</v>
      </c>
      <c r="AM83" s="17" t="s">
        <v>61</v>
      </c>
      <c r="AN83" s="17" t="s">
        <v>65</v>
      </c>
      <c r="AO83" s="17" t="s">
        <v>65</v>
      </c>
      <c r="AP83" s="17" t="s">
        <v>69</v>
      </c>
      <c r="AQ83" s="17" t="s">
        <v>69</v>
      </c>
      <c r="AR83" s="17" t="s">
        <v>65</v>
      </c>
      <c r="AS83" s="17" t="s">
        <v>69</v>
      </c>
      <c r="AT83" s="17" t="s">
        <v>65</v>
      </c>
      <c r="AU83" s="17" t="s">
        <v>65</v>
      </c>
      <c r="AV83" s="17" t="s">
        <v>65</v>
      </c>
      <c r="AW83" s="17" t="s">
        <v>65</v>
      </c>
    </row>
    <row r="84" spans="1:49" ht="23.25">
      <c r="A84" s="10">
        <v>77</v>
      </c>
      <c r="B84" s="23">
        <v>45132</v>
      </c>
      <c r="C84" s="23">
        <v>45134</v>
      </c>
      <c r="D84" s="21">
        <v>46</v>
      </c>
      <c r="E84" s="18">
        <v>1</v>
      </c>
      <c r="F84" s="18">
        <v>1</v>
      </c>
      <c r="G84" s="18">
        <v>1</v>
      </c>
      <c r="H84" s="18">
        <v>1</v>
      </c>
      <c r="I84" s="14">
        <f t="shared" si="1"/>
        <v>1</v>
      </c>
      <c r="J84" s="12">
        <v>0</v>
      </c>
      <c r="K84" s="11">
        <v>0</v>
      </c>
      <c r="L84" s="12">
        <v>0</v>
      </c>
      <c r="M84" s="11" t="s">
        <v>61</v>
      </c>
      <c r="N84" s="11">
        <v>0</v>
      </c>
      <c r="O84" s="13">
        <v>1</v>
      </c>
      <c r="P84" s="12">
        <v>0</v>
      </c>
      <c r="Q84" s="14" t="s">
        <v>93</v>
      </c>
      <c r="R84" s="12">
        <v>0</v>
      </c>
      <c r="S84" s="12" t="s">
        <v>61</v>
      </c>
      <c r="T84" s="12" t="s">
        <v>198</v>
      </c>
      <c r="U84" s="12" t="s">
        <v>61</v>
      </c>
      <c r="V84" s="28" t="s">
        <v>199</v>
      </c>
      <c r="W84" s="13">
        <v>100</v>
      </c>
      <c r="X84" s="13">
        <v>7</v>
      </c>
      <c r="Y84" s="13">
        <v>0</v>
      </c>
      <c r="Z84" s="13" t="s">
        <v>61</v>
      </c>
      <c r="AA84" s="11" t="s">
        <v>61</v>
      </c>
      <c r="AC84" s="13">
        <v>1</v>
      </c>
      <c r="AD84" s="13">
        <v>1</v>
      </c>
      <c r="AE84" s="13">
        <v>1</v>
      </c>
      <c r="AG84" s="12">
        <v>1</v>
      </c>
      <c r="AH84" s="16" t="s">
        <v>189</v>
      </c>
      <c r="AI84" s="17" t="s">
        <v>69</v>
      </c>
      <c r="AJ84" s="17" t="s">
        <v>69</v>
      </c>
      <c r="AK84" s="17" t="s">
        <v>69</v>
      </c>
      <c r="AL84" s="17" t="s">
        <v>69</v>
      </c>
      <c r="AM84" s="17" t="s">
        <v>61</v>
      </c>
      <c r="AN84" s="17" t="s">
        <v>65</v>
      </c>
      <c r="AO84" s="17" t="s">
        <v>69</v>
      </c>
      <c r="AP84" s="17" t="s">
        <v>122</v>
      </c>
      <c r="AQ84" s="17" t="s">
        <v>69</v>
      </c>
      <c r="AR84" s="17" t="s">
        <v>65</v>
      </c>
      <c r="AS84" s="17" t="s">
        <v>69</v>
      </c>
      <c r="AT84" s="17" t="s">
        <v>65</v>
      </c>
      <c r="AU84" s="17" t="s">
        <v>65</v>
      </c>
      <c r="AV84" s="17" t="s">
        <v>65</v>
      </c>
      <c r="AW84" s="17" t="s">
        <v>65</v>
      </c>
    </row>
    <row r="85" spans="1:49" ht="24">
      <c r="A85" s="10">
        <v>78</v>
      </c>
      <c r="B85" s="23">
        <v>45139</v>
      </c>
      <c r="C85" s="23">
        <v>45141</v>
      </c>
      <c r="D85" s="21">
        <v>44.8</v>
      </c>
      <c r="E85" s="18">
        <v>1</v>
      </c>
      <c r="F85" s="18">
        <v>1</v>
      </c>
      <c r="G85" s="18">
        <v>0</v>
      </c>
      <c r="H85" s="18" t="s">
        <v>60</v>
      </c>
      <c r="I85" s="14">
        <f t="shared" si="1"/>
        <v>0</v>
      </c>
      <c r="J85" s="12">
        <v>0</v>
      </c>
      <c r="K85" s="11">
        <v>100</v>
      </c>
      <c r="L85" s="12">
        <v>0</v>
      </c>
      <c r="M85" s="11" t="s">
        <v>79</v>
      </c>
      <c r="N85" s="11">
        <v>1</v>
      </c>
      <c r="O85" s="13">
        <v>1</v>
      </c>
      <c r="P85" s="12">
        <v>1</v>
      </c>
      <c r="Q85" s="14" t="s">
        <v>115</v>
      </c>
      <c r="R85" s="12">
        <v>4</v>
      </c>
      <c r="S85" s="12">
        <v>1</v>
      </c>
      <c r="T85" s="12" t="s">
        <v>196</v>
      </c>
      <c r="U85" s="12" t="s">
        <v>61</v>
      </c>
      <c r="V85" s="28" t="s">
        <v>200</v>
      </c>
      <c r="W85" s="13">
        <v>100</v>
      </c>
      <c r="X85" s="13">
        <v>6</v>
      </c>
      <c r="Y85" s="13">
        <v>1</v>
      </c>
      <c r="Z85" s="13">
        <v>1</v>
      </c>
      <c r="AA85" s="11">
        <v>38</v>
      </c>
      <c r="AB85" s="25" t="s">
        <v>201</v>
      </c>
      <c r="AC85" s="13">
        <v>1</v>
      </c>
      <c r="AD85" s="13">
        <v>1</v>
      </c>
      <c r="AE85" s="13">
        <v>0</v>
      </c>
      <c r="AG85" s="12">
        <v>1</v>
      </c>
      <c r="AH85" s="16" t="s">
        <v>202</v>
      </c>
      <c r="AI85" s="17" t="s">
        <v>69</v>
      </c>
      <c r="AJ85" s="17" t="s">
        <v>69</v>
      </c>
      <c r="AK85" s="17" t="s">
        <v>69</v>
      </c>
      <c r="AL85" s="17" t="s">
        <v>69</v>
      </c>
      <c r="AM85" s="17" t="s">
        <v>61</v>
      </c>
      <c r="AN85" s="17" t="s">
        <v>65</v>
      </c>
      <c r="AO85" s="17" t="s">
        <v>65</v>
      </c>
      <c r="AP85" s="17" t="s">
        <v>65</v>
      </c>
      <c r="AQ85" s="17" t="s">
        <v>69</v>
      </c>
      <c r="AR85" s="17" t="s">
        <v>65</v>
      </c>
      <c r="AS85" s="17" t="s">
        <v>69</v>
      </c>
      <c r="AT85" s="17" t="s">
        <v>65</v>
      </c>
      <c r="AU85" s="17" t="s">
        <v>65</v>
      </c>
      <c r="AV85" s="17" t="s">
        <v>65</v>
      </c>
      <c r="AW85" s="17" t="s">
        <v>65</v>
      </c>
    </row>
    <row r="86" spans="1:49" ht="24">
      <c r="A86" s="10">
        <v>79</v>
      </c>
      <c r="B86" s="23">
        <v>45160</v>
      </c>
      <c r="C86" s="23">
        <v>45162</v>
      </c>
      <c r="D86" s="21">
        <v>42.5</v>
      </c>
      <c r="E86" s="18">
        <v>1</v>
      </c>
      <c r="F86" s="18">
        <v>1</v>
      </c>
      <c r="G86" s="18">
        <v>0</v>
      </c>
      <c r="H86" s="18" t="s">
        <v>60</v>
      </c>
      <c r="I86" s="14">
        <f t="shared" si="1"/>
        <v>0</v>
      </c>
      <c r="J86" s="12">
        <v>0</v>
      </c>
      <c r="K86" s="11">
        <v>0</v>
      </c>
      <c r="L86" s="12">
        <v>0</v>
      </c>
      <c r="M86" s="11" t="s">
        <v>61</v>
      </c>
      <c r="N86" s="11">
        <v>0</v>
      </c>
      <c r="O86" s="13">
        <v>1</v>
      </c>
      <c r="P86" s="12">
        <v>1</v>
      </c>
      <c r="Q86" s="14" t="s">
        <v>115</v>
      </c>
      <c r="R86" s="12">
        <v>4</v>
      </c>
      <c r="S86" s="12">
        <v>1</v>
      </c>
      <c r="T86" s="12" t="s">
        <v>196</v>
      </c>
      <c r="U86" s="12" t="s">
        <v>61</v>
      </c>
      <c r="W86" s="13">
        <v>100</v>
      </c>
      <c r="X86" s="13">
        <v>7</v>
      </c>
      <c r="Y86" s="13">
        <v>0</v>
      </c>
      <c r="Z86" s="13" t="s">
        <v>61</v>
      </c>
      <c r="AA86" s="11" t="s">
        <v>61</v>
      </c>
      <c r="AC86" s="13">
        <v>1</v>
      </c>
      <c r="AD86" s="13">
        <v>1</v>
      </c>
      <c r="AE86" s="13">
        <v>1</v>
      </c>
      <c r="AF86" s="16" t="s">
        <v>203</v>
      </c>
      <c r="AG86" s="12">
        <v>1</v>
      </c>
      <c r="AH86" s="16" t="s">
        <v>189</v>
      </c>
      <c r="AI86" s="17" t="s">
        <v>69</v>
      </c>
      <c r="AJ86" s="17" t="s">
        <v>69</v>
      </c>
      <c r="AK86" s="17" t="s">
        <v>69</v>
      </c>
      <c r="AL86" s="17" t="s">
        <v>69</v>
      </c>
      <c r="AM86" s="17" t="s">
        <v>61</v>
      </c>
      <c r="AN86" s="17" t="s">
        <v>65</v>
      </c>
      <c r="AO86" s="17" t="s">
        <v>65</v>
      </c>
      <c r="AP86" s="17" t="s">
        <v>65</v>
      </c>
      <c r="AQ86" s="17" t="s">
        <v>69</v>
      </c>
      <c r="AR86" s="17" t="s">
        <v>65</v>
      </c>
      <c r="AS86" s="17" t="s">
        <v>69</v>
      </c>
      <c r="AT86" s="17" t="s">
        <v>65</v>
      </c>
      <c r="AU86" s="17" t="s">
        <v>65</v>
      </c>
      <c r="AV86" s="17" t="s">
        <v>65</v>
      </c>
      <c r="AW86" s="17" t="s">
        <v>65</v>
      </c>
    </row>
    <row r="87" spans="1:49">
      <c r="A87" s="10">
        <v>80</v>
      </c>
      <c r="B87" s="23">
        <v>45167</v>
      </c>
      <c r="C87" s="23">
        <v>45169</v>
      </c>
      <c r="D87" s="21">
        <v>44.5</v>
      </c>
      <c r="E87" s="18">
        <v>1</v>
      </c>
      <c r="F87" s="18">
        <v>1</v>
      </c>
      <c r="G87" s="18">
        <v>1</v>
      </c>
      <c r="H87" s="18">
        <v>1</v>
      </c>
      <c r="I87" s="14">
        <f t="shared" si="1"/>
        <v>1</v>
      </c>
      <c r="J87" s="12">
        <v>0</v>
      </c>
      <c r="K87" s="11">
        <v>100</v>
      </c>
      <c r="L87" s="12">
        <v>0</v>
      </c>
      <c r="M87" s="11" t="s">
        <v>187</v>
      </c>
      <c r="N87" s="11">
        <v>0</v>
      </c>
      <c r="O87" s="13">
        <v>1</v>
      </c>
      <c r="P87" s="12">
        <v>1</v>
      </c>
      <c r="Q87" s="14" t="s">
        <v>115</v>
      </c>
      <c r="R87" s="12">
        <v>4</v>
      </c>
      <c r="S87" s="12">
        <v>1</v>
      </c>
      <c r="T87" s="12" t="s">
        <v>196</v>
      </c>
      <c r="U87" s="12" t="s">
        <v>61</v>
      </c>
      <c r="W87" s="13">
        <v>100</v>
      </c>
      <c r="X87" s="13">
        <v>7</v>
      </c>
      <c r="Y87" s="13">
        <v>0</v>
      </c>
      <c r="Z87" s="13" t="s">
        <v>61</v>
      </c>
      <c r="AA87" s="11" t="s">
        <v>61</v>
      </c>
      <c r="AC87" s="13">
        <v>1</v>
      </c>
      <c r="AD87" s="13">
        <v>1</v>
      </c>
      <c r="AE87" s="13">
        <v>1</v>
      </c>
      <c r="AG87" s="12">
        <v>1</v>
      </c>
      <c r="AH87" s="16" t="s">
        <v>204</v>
      </c>
      <c r="AI87" s="17" t="s">
        <v>69</v>
      </c>
      <c r="AJ87" s="17" t="s">
        <v>69</v>
      </c>
      <c r="AK87" s="17" t="s">
        <v>69</v>
      </c>
      <c r="AL87" s="17" t="s">
        <v>69</v>
      </c>
      <c r="AM87" s="17" t="s">
        <v>61</v>
      </c>
      <c r="AN87" s="17" t="s">
        <v>65</v>
      </c>
      <c r="AO87" s="17" t="s">
        <v>69</v>
      </c>
      <c r="AP87" s="17" t="s">
        <v>65</v>
      </c>
      <c r="AQ87" s="17" t="s">
        <v>69</v>
      </c>
      <c r="AR87" s="17" t="s">
        <v>65</v>
      </c>
      <c r="AS87" s="17" t="s">
        <v>69</v>
      </c>
      <c r="AT87" s="17" t="s">
        <v>65</v>
      </c>
      <c r="AU87" s="17" t="s">
        <v>65</v>
      </c>
      <c r="AV87" s="17" t="s">
        <v>65</v>
      </c>
      <c r="AW87" s="17" t="s">
        <v>65</v>
      </c>
    </row>
    <row r="88" spans="1:49">
      <c r="A88" s="10">
        <v>81</v>
      </c>
      <c r="B88" s="23">
        <v>45174</v>
      </c>
      <c r="C88" s="23">
        <v>45176</v>
      </c>
      <c r="D88" s="21">
        <v>45</v>
      </c>
      <c r="E88" s="18">
        <v>1</v>
      </c>
      <c r="F88" s="18">
        <v>1</v>
      </c>
      <c r="G88" s="18">
        <v>1</v>
      </c>
      <c r="H88" s="18">
        <v>0</v>
      </c>
      <c r="I88" s="14">
        <f t="shared" si="1"/>
        <v>0</v>
      </c>
      <c r="J88" s="12">
        <v>0</v>
      </c>
      <c r="K88" s="11">
        <v>100</v>
      </c>
      <c r="L88" s="12">
        <v>0</v>
      </c>
      <c r="M88" s="11" t="s">
        <v>187</v>
      </c>
      <c r="N88" s="11">
        <v>1</v>
      </c>
      <c r="O88" s="13">
        <v>1</v>
      </c>
      <c r="P88" s="12">
        <v>1</v>
      </c>
      <c r="Q88" s="14" t="s">
        <v>115</v>
      </c>
      <c r="R88" s="12">
        <v>4</v>
      </c>
      <c r="S88" s="12">
        <v>1</v>
      </c>
      <c r="T88" s="12" t="s">
        <v>194</v>
      </c>
      <c r="U88" s="12" t="s">
        <v>61</v>
      </c>
      <c r="W88" s="13">
        <v>100</v>
      </c>
      <c r="X88" s="13">
        <v>7</v>
      </c>
      <c r="Y88" s="13">
        <v>0</v>
      </c>
      <c r="Z88" s="13" t="s">
        <v>61</v>
      </c>
      <c r="AA88" s="11" t="s">
        <v>61</v>
      </c>
      <c r="AC88" s="13">
        <v>1</v>
      </c>
      <c r="AD88" s="13">
        <v>1</v>
      </c>
      <c r="AE88" s="13">
        <v>1</v>
      </c>
      <c r="AG88" s="12">
        <v>1</v>
      </c>
      <c r="AH88" s="16" t="s">
        <v>205</v>
      </c>
      <c r="AI88" s="17" t="s">
        <v>69</v>
      </c>
      <c r="AJ88" s="17" t="s">
        <v>69</v>
      </c>
      <c r="AK88" s="17" t="s">
        <v>69</v>
      </c>
      <c r="AL88" s="17" t="s">
        <v>69</v>
      </c>
      <c r="AM88" s="17" t="s">
        <v>61</v>
      </c>
      <c r="AN88" s="17" t="s">
        <v>65</v>
      </c>
      <c r="AO88" s="17" t="s">
        <v>65</v>
      </c>
      <c r="AP88" s="17" t="s">
        <v>65</v>
      </c>
      <c r="AQ88" s="17" t="s">
        <v>69</v>
      </c>
      <c r="AR88" s="17" t="s">
        <v>65</v>
      </c>
      <c r="AS88" s="17" t="s">
        <v>69</v>
      </c>
      <c r="AT88" s="17" t="s">
        <v>65</v>
      </c>
      <c r="AU88" s="17" t="s">
        <v>65</v>
      </c>
      <c r="AV88" s="17" t="s">
        <v>65</v>
      </c>
      <c r="AW88" s="17" t="s">
        <v>65</v>
      </c>
    </row>
    <row r="89" spans="1:49">
      <c r="A89" s="10">
        <v>82</v>
      </c>
      <c r="B89" s="23">
        <v>45187</v>
      </c>
      <c r="C89" s="23">
        <v>45189</v>
      </c>
      <c r="D89" s="21">
        <v>44.5</v>
      </c>
      <c r="E89" s="18">
        <v>1</v>
      </c>
      <c r="F89" s="18">
        <v>1</v>
      </c>
      <c r="G89" s="18">
        <v>1</v>
      </c>
      <c r="H89" s="18">
        <v>1</v>
      </c>
      <c r="I89" s="14">
        <f t="shared" si="1"/>
        <v>1</v>
      </c>
      <c r="J89" s="12">
        <v>0</v>
      </c>
      <c r="K89" s="11">
        <v>0</v>
      </c>
      <c r="L89" s="12">
        <v>0</v>
      </c>
      <c r="M89" s="11" t="s">
        <v>61</v>
      </c>
      <c r="N89" s="11">
        <v>0</v>
      </c>
      <c r="O89" s="13">
        <v>1</v>
      </c>
      <c r="P89" s="12">
        <v>0</v>
      </c>
      <c r="Q89" s="14" t="s">
        <v>93</v>
      </c>
      <c r="R89" s="12">
        <v>0</v>
      </c>
      <c r="S89" s="12" t="s">
        <v>61</v>
      </c>
      <c r="T89" s="12" t="s">
        <v>78</v>
      </c>
      <c r="U89" s="12" t="s">
        <v>61</v>
      </c>
      <c r="W89" s="13">
        <v>100</v>
      </c>
      <c r="X89" s="13">
        <v>7</v>
      </c>
      <c r="Y89" s="13">
        <v>0</v>
      </c>
      <c r="Z89" s="13" t="s">
        <v>61</v>
      </c>
      <c r="AA89" s="11" t="s">
        <v>61</v>
      </c>
      <c r="AC89" s="13">
        <v>1</v>
      </c>
      <c r="AD89" s="13">
        <v>1</v>
      </c>
      <c r="AE89" s="13">
        <v>1</v>
      </c>
      <c r="AG89" s="12">
        <v>1</v>
      </c>
      <c r="AH89" s="16" t="s">
        <v>206</v>
      </c>
      <c r="AI89" s="17" t="s">
        <v>69</v>
      </c>
      <c r="AJ89" s="17" t="s">
        <v>69</v>
      </c>
      <c r="AK89" s="17" t="s">
        <v>69</v>
      </c>
      <c r="AL89" s="17" t="s">
        <v>69</v>
      </c>
      <c r="AM89" s="17" t="s">
        <v>61</v>
      </c>
      <c r="AN89" s="17" t="s">
        <v>65</v>
      </c>
      <c r="AO89" s="17" t="s">
        <v>69</v>
      </c>
      <c r="AP89" s="17" t="s">
        <v>65</v>
      </c>
      <c r="AQ89" s="17" t="s">
        <v>69</v>
      </c>
      <c r="AR89" s="17" t="s">
        <v>65</v>
      </c>
      <c r="AS89" s="17" t="s">
        <v>69</v>
      </c>
      <c r="AT89" s="17" t="s">
        <v>65</v>
      </c>
      <c r="AU89" s="17" t="s">
        <v>65</v>
      </c>
      <c r="AV89" s="17" t="s">
        <v>65</v>
      </c>
      <c r="AW89" s="17" t="s">
        <v>65</v>
      </c>
    </row>
    <row r="90" spans="1:49">
      <c r="A90" s="10">
        <v>83</v>
      </c>
      <c r="B90" s="23">
        <v>45195</v>
      </c>
      <c r="C90" s="23">
        <v>45197</v>
      </c>
      <c r="D90" s="21">
        <v>44.5</v>
      </c>
      <c r="E90" s="18">
        <v>1</v>
      </c>
      <c r="F90" s="18">
        <v>1</v>
      </c>
      <c r="G90" s="18">
        <v>1</v>
      </c>
      <c r="H90" s="18">
        <v>0</v>
      </c>
      <c r="I90" s="14">
        <f t="shared" si="1"/>
        <v>0</v>
      </c>
      <c r="J90" s="12">
        <v>0</v>
      </c>
      <c r="K90" s="11">
        <v>100</v>
      </c>
      <c r="L90" s="12">
        <v>0</v>
      </c>
      <c r="M90" s="11" t="s">
        <v>187</v>
      </c>
      <c r="N90" s="11">
        <v>0</v>
      </c>
      <c r="O90" s="13">
        <v>1</v>
      </c>
      <c r="P90" s="12">
        <v>1</v>
      </c>
      <c r="Q90" s="14" t="s">
        <v>115</v>
      </c>
      <c r="R90" s="12">
        <v>4</v>
      </c>
      <c r="S90" s="12">
        <v>1</v>
      </c>
      <c r="T90" s="12" t="s">
        <v>196</v>
      </c>
      <c r="U90" s="12" t="s">
        <v>61</v>
      </c>
      <c r="W90" s="13">
        <v>100</v>
      </c>
      <c r="X90" s="13">
        <v>7</v>
      </c>
      <c r="Y90" s="13">
        <v>0</v>
      </c>
      <c r="Z90" s="13" t="s">
        <v>61</v>
      </c>
      <c r="AA90" s="11" t="s">
        <v>61</v>
      </c>
      <c r="AC90" s="13">
        <v>1</v>
      </c>
      <c r="AD90" s="13">
        <v>1</v>
      </c>
      <c r="AE90" s="13">
        <v>1</v>
      </c>
      <c r="AG90" s="12">
        <v>1</v>
      </c>
      <c r="AI90" s="17" t="s">
        <v>69</v>
      </c>
      <c r="AJ90" s="17" t="s">
        <v>69</v>
      </c>
      <c r="AK90" s="17" t="s">
        <v>69</v>
      </c>
      <c r="AL90" s="17" t="s">
        <v>69</v>
      </c>
      <c r="AM90" s="17" t="s">
        <v>61</v>
      </c>
      <c r="AN90" s="17" t="s">
        <v>65</v>
      </c>
      <c r="AO90" s="17" t="s">
        <v>65</v>
      </c>
      <c r="AP90" s="17" t="s">
        <v>65</v>
      </c>
      <c r="AQ90" s="17" t="s">
        <v>69</v>
      </c>
      <c r="AR90" s="17" t="s">
        <v>65</v>
      </c>
      <c r="AS90" s="17" t="s">
        <v>69</v>
      </c>
      <c r="AT90" s="17" t="s">
        <v>65</v>
      </c>
      <c r="AU90" s="17" t="s">
        <v>65</v>
      </c>
      <c r="AV90" s="17" t="s">
        <v>65</v>
      </c>
      <c r="AW90" s="17" t="s">
        <v>65</v>
      </c>
    </row>
    <row r="91" spans="1:49">
      <c r="A91" s="10">
        <v>84</v>
      </c>
      <c r="B91" s="23">
        <v>45209</v>
      </c>
      <c r="C91" s="23">
        <v>45211</v>
      </c>
      <c r="D91" s="21">
        <v>42</v>
      </c>
      <c r="E91" s="18">
        <v>1</v>
      </c>
      <c r="F91" s="18">
        <v>1</v>
      </c>
      <c r="G91" s="18">
        <v>1</v>
      </c>
      <c r="H91" s="18">
        <v>1</v>
      </c>
      <c r="I91" s="14">
        <f t="shared" si="1"/>
        <v>1</v>
      </c>
      <c r="J91" s="12">
        <v>0</v>
      </c>
      <c r="K91" s="11">
        <v>109.4</v>
      </c>
      <c r="L91" s="12">
        <v>1</v>
      </c>
      <c r="M91" s="11" t="s">
        <v>187</v>
      </c>
      <c r="N91" s="11">
        <v>0</v>
      </c>
      <c r="O91" s="13">
        <v>0</v>
      </c>
      <c r="P91" s="12">
        <v>1</v>
      </c>
      <c r="Q91" s="14" t="s">
        <v>207</v>
      </c>
      <c r="R91" s="12">
        <v>4</v>
      </c>
      <c r="S91" s="12">
        <v>1</v>
      </c>
      <c r="T91" s="12" t="s">
        <v>198</v>
      </c>
      <c r="U91" s="12" t="s">
        <v>61</v>
      </c>
      <c r="V91" s="15" t="s">
        <v>208</v>
      </c>
      <c r="W91" s="13">
        <v>100</v>
      </c>
      <c r="X91" s="13">
        <v>7</v>
      </c>
      <c r="Y91" s="13">
        <v>0</v>
      </c>
      <c r="Z91" s="13" t="s">
        <v>61</v>
      </c>
      <c r="AA91" s="11" t="s">
        <v>61</v>
      </c>
      <c r="AC91" s="13">
        <v>1</v>
      </c>
      <c r="AD91" s="13">
        <v>1</v>
      </c>
      <c r="AE91" s="13">
        <v>1</v>
      </c>
      <c r="AG91" s="12">
        <v>1</v>
      </c>
      <c r="AH91" s="16" t="s">
        <v>209</v>
      </c>
      <c r="AI91" s="17" t="s">
        <v>69</v>
      </c>
      <c r="AJ91" s="17" t="s">
        <v>69</v>
      </c>
      <c r="AK91" s="17" t="s">
        <v>69</v>
      </c>
      <c r="AL91" s="17" t="s">
        <v>69</v>
      </c>
      <c r="AM91" s="17" t="s">
        <v>61</v>
      </c>
      <c r="AN91" s="17" t="s">
        <v>65</v>
      </c>
      <c r="AO91" s="17" t="s">
        <v>65</v>
      </c>
      <c r="AP91" s="17" t="s">
        <v>65</v>
      </c>
      <c r="AQ91" s="17" t="s">
        <v>69</v>
      </c>
      <c r="AR91" s="17" t="s">
        <v>65</v>
      </c>
      <c r="AS91" s="17" t="s">
        <v>69</v>
      </c>
      <c r="AT91" s="17" t="s">
        <v>65</v>
      </c>
      <c r="AU91" s="17" t="s">
        <v>65</v>
      </c>
      <c r="AV91" s="17" t="s">
        <v>65</v>
      </c>
      <c r="AW91" s="17" t="s">
        <v>65</v>
      </c>
    </row>
    <row r="92" spans="1:49" ht="12.75" customHeight="1">
      <c r="A92" s="10">
        <v>85</v>
      </c>
      <c r="B92" s="23">
        <v>45237</v>
      </c>
      <c r="C92" s="23">
        <v>45239</v>
      </c>
      <c r="D92" s="21">
        <v>47</v>
      </c>
      <c r="E92" s="18">
        <v>1</v>
      </c>
      <c r="F92" s="18">
        <v>1</v>
      </c>
      <c r="G92" s="18">
        <v>1</v>
      </c>
      <c r="H92" s="18">
        <v>1</v>
      </c>
      <c r="I92" s="14">
        <f t="shared" si="1"/>
        <v>1</v>
      </c>
      <c r="J92" s="12">
        <v>0</v>
      </c>
      <c r="K92" s="11">
        <v>109.4</v>
      </c>
      <c r="L92" s="12">
        <v>1</v>
      </c>
      <c r="M92" s="11" t="s">
        <v>187</v>
      </c>
      <c r="N92" s="11">
        <v>0</v>
      </c>
      <c r="O92" s="13">
        <v>0</v>
      </c>
      <c r="P92" s="12">
        <v>1</v>
      </c>
      <c r="Q92" s="14" t="s">
        <v>207</v>
      </c>
      <c r="R92" s="12">
        <v>4</v>
      </c>
      <c r="S92" s="12">
        <v>1</v>
      </c>
      <c r="T92" s="12" t="s">
        <v>198</v>
      </c>
      <c r="U92" s="12" t="s">
        <v>61</v>
      </c>
      <c r="W92" s="13">
        <v>100</v>
      </c>
      <c r="X92" s="13">
        <v>7</v>
      </c>
      <c r="Y92" s="13">
        <v>0</v>
      </c>
      <c r="Z92" s="13" t="s">
        <v>61</v>
      </c>
      <c r="AA92" s="11" t="s">
        <v>61</v>
      </c>
      <c r="AC92" s="13">
        <v>1</v>
      </c>
      <c r="AD92" s="13">
        <v>1</v>
      </c>
      <c r="AE92" s="13">
        <v>1</v>
      </c>
      <c r="AG92" s="12">
        <v>1</v>
      </c>
      <c r="AH92" s="16" t="s">
        <v>209</v>
      </c>
      <c r="AI92" s="17" t="s">
        <v>69</v>
      </c>
      <c r="AJ92" s="17" t="s">
        <v>122</v>
      </c>
      <c r="AK92" s="17" t="s">
        <v>69</v>
      </c>
      <c r="AL92" s="17" t="s">
        <v>69</v>
      </c>
      <c r="AM92" s="17" t="s">
        <v>61</v>
      </c>
      <c r="AO92" s="17" t="s">
        <v>65</v>
      </c>
      <c r="AP92" s="17" t="s">
        <v>65</v>
      </c>
      <c r="AQ92" s="17" t="s">
        <v>65</v>
      </c>
      <c r="AR92" s="17" t="s">
        <v>65</v>
      </c>
      <c r="AS92" s="17" t="s">
        <v>69</v>
      </c>
      <c r="AT92" s="17" t="s">
        <v>65</v>
      </c>
      <c r="AU92" s="17" t="s">
        <v>65</v>
      </c>
      <c r="AV92" s="17" t="s">
        <v>65</v>
      </c>
      <c r="AW92" s="17" t="s">
        <v>65</v>
      </c>
    </row>
    <row r="93" spans="1:49">
      <c r="A93" s="10">
        <v>86</v>
      </c>
      <c r="B93" s="23">
        <v>45272</v>
      </c>
      <c r="C93" s="23">
        <v>45274</v>
      </c>
      <c r="D93" s="21">
        <v>45</v>
      </c>
      <c r="E93" s="18">
        <v>1</v>
      </c>
      <c r="F93" s="18">
        <v>1</v>
      </c>
      <c r="G93" s="18">
        <v>1</v>
      </c>
      <c r="H93" s="18">
        <v>1</v>
      </c>
      <c r="I93" s="14">
        <f t="shared" si="1"/>
        <v>1</v>
      </c>
      <c r="J93" s="12">
        <v>0</v>
      </c>
      <c r="K93" s="11">
        <v>109.4</v>
      </c>
      <c r="L93" s="12">
        <v>1</v>
      </c>
      <c r="M93" s="11" t="s">
        <v>187</v>
      </c>
      <c r="N93" s="11">
        <v>0</v>
      </c>
      <c r="O93" s="13">
        <v>0</v>
      </c>
      <c r="P93" s="12">
        <v>1</v>
      </c>
      <c r="Q93" s="14" t="s">
        <v>207</v>
      </c>
      <c r="R93" s="12">
        <v>4</v>
      </c>
      <c r="S93" s="12">
        <v>1</v>
      </c>
      <c r="T93" s="12" t="s">
        <v>196</v>
      </c>
      <c r="U93" s="12" t="s">
        <v>61</v>
      </c>
      <c r="W93" s="13">
        <v>100</v>
      </c>
      <c r="X93" s="13">
        <v>7</v>
      </c>
      <c r="Y93" s="13">
        <v>0</v>
      </c>
      <c r="Z93" s="13" t="s">
        <v>61</v>
      </c>
      <c r="AA93" s="11" t="s">
        <v>61</v>
      </c>
      <c r="AC93" s="13">
        <v>1</v>
      </c>
      <c r="AD93" s="13">
        <v>1</v>
      </c>
      <c r="AE93" s="13">
        <v>1</v>
      </c>
      <c r="AG93" s="12">
        <v>1</v>
      </c>
      <c r="AH93" s="16" t="s">
        <v>209</v>
      </c>
      <c r="AI93" s="17" t="s">
        <v>69</v>
      </c>
      <c r="AJ93" s="17" t="s">
        <v>65</v>
      </c>
      <c r="AK93" s="17" t="s">
        <v>65</v>
      </c>
      <c r="AL93" s="17" t="s">
        <v>69</v>
      </c>
      <c r="AM93" s="17" t="s">
        <v>61</v>
      </c>
      <c r="AO93" s="17" t="s">
        <v>65</v>
      </c>
      <c r="AP93" s="17" t="s">
        <v>65</v>
      </c>
      <c r="AQ93" s="17" t="s">
        <v>65</v>
      </c>
      <c r="AR93" s="17" t="s">
        <v>65</v>
      </c>
      <c r="AS93" s="17" t="s">
        <v>69</v>
      </c>
      <c r="AT93" s="17" t="s">
        <v>65</v>
      </c>
      <c r="AU93" s="17" t="s">
        <v>65</v>
      </c>
      <c r="AV93" s="17" t="s">
        <v>65</v>
      </c>
      <c r="AW93" s="17" t="s">
        <v>65</v>
      </c>
    </row>
  </sheetData>
  <sheetProtection sheet="1" objects="1" scenarios="1"/>
  <protectedRanges>
    <protectedRange sqref="AI67:AW100" name="Range1"/>
  </protectedRanges>
  <conditionalFormatting sqref="A1:A1048576">
    <cfRule type="expression" dxfId="23" priority="21">
      <formula>J1=1</formula>
    </cfRule>
  </conditionalFormatting>
  <conditionalFormatting sqref="J1:J1048576">
    <cfRule type="cellIs" dxfId="22" priority="30" operator="equal">
      <formula>1</formula>
    </cfRule>
  </conditionalFormatting>
  <conditionalFormatting sqref="K1:K1048576">
    <cfRule type="cellIs" dxfId="21" priority="28" operator="greaterThan">
      <formula>0</formula>
    </cfRule>
  </conditionalFormatting>
  <conditionalFormatting sqref="N1:N1048576">
    <cfRule type="cellIs" dxfId="20" priority="29" operator="equal">
      <formula>1</formula>
    </cfRule>
  </conditionalFormatting>
  <conditionalFormatting sqref="R1:R1048576">
    <cfRule type="colorScale" priority="27">
      <colorScale>
        <cfvo type="min"/>
        <cfvo type="percentile" val="50"/>
        <cfvo type="max"/>
        <color rgb="FF63BE7B"/>
        <color rgb="FFFCFCFF"/>
        <color rgb="FFF8696B"/>
      </colorScale>
    </cfRule>
  </conditionalFormatting>
  <conditionalFormatting sqref="AI1:AU1048576">
    <cfRule type="cellIs" dxfId="19" priority="23" operator="equal">
      <formula>"q"</formula>
    </cfRule>
  </conditionalFormatting>
  <conditionalFormatting sqref="AI1:AW1048576">
    <cfRule type="cellIs" dxfId="18" priority="9" operator="equal">
      <formula>"redo"</formula>
    </cfRule>
    <cfRule type="cellIs" dxfId="17" priority="22" operator="equal">
      <formula>"na"</formula>
    </cfRule>
    <cfRule type="cellIs" dxfId="16" priority="24" operator="equal">
      <formula>"y"</formula>
    </cfRule>
  </conditionalFormatting>
  <pageMargins left="0.25" right="0.25" top="0.75" bottom="0.75" header="0.3" footer="0.3"/>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132C-CC39-4C5D-AB4F-D8B0A3CD9E9B}">
  <dimension ref="A1:AH50"/>
  <sheetViews>
    <sheetView topLeftCell="A13" workbookViewId="0">
      <selection activeCell="C54" sqref="C54"/>
    </sheetView>
  </sheetViews>
  <sheetFormatPr defaultRowHeight="15"/>
  <cols>
    <col min="1" max="1" width="22.140625" style="37" customWidth="1"/>
    <col min="2" max="2" width="122.42578125" style="37" customWidth="1"/>
    <col min="3" max="3" width="108.7109375" customWidth="1"/>
  </cols>
  <sheetData>
    <row r="1" spans="1:34" s="3" customFormat="1" ht="12.75">
      <c r="A1" s="1" t="s">
        <v>210</v>
      </c>
      <c r="B1" s="32" t="s">
        <v>211</v>
      </c>
      <c r="C1" s="32" t="s">
        <v>212</v>
      </c>
      <c r="D1" s="19"/>
      <c r="J1" s="1"/>
      <c r="K1" s="2"/>
      <c r="L1" s="1"/>
      <c r="M1" s="2"/>
      <c r="N1" s="2"/>
      <c r="O1" s="1"/>
      <c r="P1" s="1"/>
      <c r="R1" s="1"/>
      <c r="S1" s="1"/>
      <c r="T1" s="1"/>
      <c r="U1" s="1"/>
      <c r="V1" s="4"/>
      <c r="W1" s="1"/>
      <c r="X1" s="1"/>
      <c r="Y1" s="1"/>
      <c r="Z1" s="1"/>
      <c r="AA1" s="2"/>
      <c r="AB1" s="5"/>
      <c r="AC1" s="1"/>
      <c r="AD1" s="1"/>
      <c r="AE1" s="1"/>
      <c r="AF1" s="6"/>
      <c r="AG1" s="1"/>
      <c r="AH1" s="5"/>
    </row>
    <row r="2" spans="1:34">
      <c r="A2" s="33" t="s">
        <v>0</v>
      </c>
      <c r="B2" s="37" t="s">
        <v>213</v>
      </c>
      <c r="C2" t="s">
        <v>214</v>
      </c>
    </row>
    <row r="3" spans="1:34">
      <c r="A3" s="34" t="s">
        <v>1</v>
      </c>
      <c r="B3" s="37" t="s">
        <v>215</v>
      </c>
      <c r="C3" t="s">
        <v>216</v>
      </c>
    </row>
    <row r="4" spans="1:34">
      <c r="A4" s="34" t="s">
        <v>2</v>
      </c>
      <c r="B4" s="37" t="s">
        <v>217</v>
      </c>
      <c r="C4" t="s">
        <v>216</v>
      </c>
    </row>
    <row r="5" spans="1:34">
      <c r="A5" s="35" t="s">
        <v>3</v>
      </c>
      <c r="B5" s="37" t="s">
        <v>218</v>
      </c>
      <c r="C5" t="s">
        <v>219</v>
      </c>
    </row>
    <row r="6" spans="1:34">
      <c r="A6" s="4" t="s">
        <v>4</v>
      </c>
      <c r="B6" s="37" t="s">
        <v>220</v>
      </c>
      <c r="C6" t="s">
        <v>221</v>
      </c>
    </row>
    <row r="7" spans="1:34">
      <c r="A7" s="4" t="s">
        <v>5</v>
      </c>
      <c r="B7" s="37" t="s">
        <v>222</v>
      </c>
      <c r="C7" t="s">
        <v>223</v>
      </c>
    </row>
    <row r="8" spans="1:34">
      <c r="A8" s="4" t="s">
        <v>6</v>
      </c>
      <c r="B8" s="37" t="s">
        <v>224</v>
      </c>
      <c r="C8" t="s">
        <v>225</v>
      </c>
    </row>
    <row r="9" spans="1:34">
      <c r="A9" s="4" t="s">
        <v>7</v>
      </c>
      <c r="B9" s="37" t="s">
        <v>226</v>
      </c>
      <c r="C9" t="s">
        <v>227</v>
      </c>
    </row>
    <row r="10" spans="1:34">
      <c r="A10" s="4" t="s">
        <v>8</v>
      </c>
      <c r="B10" s="37" t="s">
        <v>228</v>
      </c>
      <c r="C10" t="s">
        <v>229</v>
      </c>
    </row>
    <row r="11" spans="1:34">
      <c r="A11" s="33" t="s">
        <v>9</v>
      </c>
      <c r="B11" s="37" t="s">
        <v>230</v>
      </c>
    </row>
    <row r="12" spans="1:34">
      <c r="A12" s="36" t="s">
        <v>10</v>
      </c>
      <c r="B12" s="37" t="s">
        <v>231</v>
      </c>
    </row>
    <row r="13" spans="1:34">
      <c r="A13" s="33" t="s">
        <v>11</v>
      </c>
      <c r="B13" s="37" t="s">
        <v>232</v>
      </c>
    </row>
    <row r="14" spans="1:34">
      <c r="A14" s="36" t="s">
        <v>12</v>
      </c>
      <c r="B14" s="37" t="s">
        <v>233</v>
      </c>
    </row>
    <row r="15" spans="1:34">
      <c r="A15" s="36" t="s">
        <v>13</v>
      </c>
      <c r="B15" s="37" t="s">
        <v>234</v>
      </c>
    </row>
    <row r="16" spans="1:34">
      <c r="A16" s="33" t="s">
        <v>14</v>
      </c>
      <c r="B16" s="37" t="s">
        <v>235</v>
      </c>
    </row>
    <row r="17" spans="1:2">
      <c r="A17" s="33" t="s">
        <v>15</v>
      </c>
      <c r="B17" s="37" t="s">
        <v>236</v>
      </c>
    </row>
    <row r="18" spans="1:2">
      <c r="A18" s="4" t="s">
        <v>16</v>
      </c>
      <c r="B18" s="37" t="s">
        <v>237</v>
      </c>
    </row>
    <row r="19" spans="1:2">
      <c r="A19" s="33" t="s">
        <v>17</v>
      </c>
      <c r="B19" s="37" t="s">
        <v>238</v>
      </c>
    </row>
    <row r="20" spans="1:2">
      <c r="A20" s="33" t="s">
        <v>18</v>
      </c>
      <c r="B20" s="37" t="s">
        <v>239</v>
      </c>
    </row>
    <row r="21" spans="1:2">
      <c r="A21" s="33" t="s">
        <v>19</v>
      </c>
      <c r="B21" s="37" t="s">
        <v>240</v>
      </c>
    </row>
    <row r="22" spans="1:2">
      <c r="A22" s="33" t="s">
        <v>20</v>
      </c>
      <c r="B22" s="37" t="s">
        <v>241</v>
      </c>
    </row>
    <row r="23" spans="1:2">
      <c r="A23" s="4" t="s">
        <v>21</v>
      </c>
      <c r="B23" s="37" t="s">
        <v>242</v>
      </c>
    </row>
    <row r="24" spans="1:2">
      <c r="A24" s="33" t="s">
        <v>22</v>
      </c>
      <c r="B24" s="37" t="s">
        <v>243</v>
      </c>
    </row>
    <row r="25" spans="1:2">
      <c r="A25" s="33" t="s">
        <v>23</v>
      </c>
      <c r="B25" s="37" t="s">
        <v>244</v>
      </c>
    </row>
    <row r="26" spans="1:2">
      <c r="A26" s="33" t="s">
        <v>24</v>
      </c>
      <c r="B26" s="37" t="s">
        <v>245</v>
      </c>
    </row>
    <row r="27" spans="1:2">
      <c r="A27" s="33" t="s">
        <v>25</v>
      </c>
      <c r="B27" s="37" t="s">
        <v>246</v>
      </c>
    </row>
    <row r="28" spans="1:2">
      <c r="A28" s="36" t="s">
        <v>26</v>
      </c>
      <c r="B28" s="37" t="s">
        <v>247</v>
      </c>
    </row>
    <row r="29" spans="1:2">
      <c r="A29" s="5" t="s">
        <v>27</v>
      </c>
      <c r="B29" s="37" t="s">
        <v>248</v>
      </c>
    </row>
    <row r="30" spans="1:2">
      <c r="A30" s="33" t="s">
        <v>28</v>
      </c>
      <c r="B30" s="37" t="s">
        <v>249</v>
      </c>
    </row>
    <row r="31" spans="1:2">
      <c r="A31" s="33" t="s">
        <v>29</v>
      </c>
      <c r="B31" s="37" t="s">
        <v>250</v>
      </c>
    </row>
    <row r="32" spans="1:2">
      <c r="A32" s="33" t="s">
        <v>30</v>
      </c>
      <c r="B32" s="37" t="s">
        <v>251</v>
      </c>
    </row>
    <row r="33" spans="1:3">
      <c r="A33" s="5" t="s">
        <v>31</v>
      </c>
      <c r="B33" s="37" t="s">
        <v>252</v>
      </c>
    </row>
    <row r="34" spans="1:3">
      <c r="A34" s="33" t="s">
        <v>32</v>
      </c>
      <c r="B34" s="37" t="s">
        <v>253</v>
      </c>
    </row>
    <row r="35" spans="1:3">
      <c r="A35" s="5" t="s">
        <v>33</v>
      </c>
      <c r="B35" s="37" t="s">
        <v>254</v>
      </c>
    </row>
    <row r="36" spans="1:3">
      <c r="A36" s="4" t="s">
        <v>34</v>
      </c>
      <c r="B36" s="37" t="s">
        <v>255</v>
      </c>
      <c r="C36" t="s">
        <v>256</v>
      </c>
    </row>
    <row r="37" spans="1:3">
      <c r="A37" s="4" t="s">
        <v>35</v>
      </c>
      <c r="B37" s="37" t="s">
        <v>255</v>
      </c>
      <c r="C37" t="s">
        <v>256</v>
      </c>
    </row>
    <row r="38" spans="1:3">
      <c r="A38" s="4" t="s">
        <v>36</v>
      </c>
      <c r="B38" s="37" t="s">
        <v>255</v>
      </c>
      <c r="C38" t="s">
        <v>256</v>
      </c>
    </row>
    <row r="39" spans="1:3">
      <c r="A39" s="4" t="s">
        <v>37</v>
      </c>
      <c r="B39" s="37" t="s">
        <v>255</v>
      </c>
      <c r="C39" t="s">
        <v>256</v>
      </c>
    </row>
    <row r="40" spans="1:3">
      <c r="A40" s="4" t="s">
        <v>38</v>
      </c>
      <c r="B40" s="37" t="s">
        <v>255</v>
      </c>
      <c r="C40" t="s">
        <v>256</v>
      </c>
    </row>
    <row r="41" spans="1:3">
      <c r="A41" s="4" t="s">
        <v>39</v>
      </c>
      <c r="B41" s="37" t="s">
        <v>255</v>
      </c>
      <c r="C41" t="s">
        <v>256</v>
      </c>
    </row>
    <row r="42" spans="1:3">
      <c r="A42" s="4" t="s">
        <v>257</v>
      </c>
      <c r="B42" s="37" t="s">
        <v>255</v>
      </c>
      <c r="C42" t="s">
        <v>256</v>
      </c>
    </row>
    <row r="43" spans="1:3">
      <c r="A43" s="4" t="s">
        <v>41</v>
      </c>
      <c r="B43" s="37" t="s">
        <v>255</v>
      </c>
      <c r="C43" t="s">
        <v>256</v>
      </c>
    </row>
    <row r="44" spans="1:3">
      <c r="A44" s="4" t="s">
        <v>42</v>
      </c>
      <c r="B44" s="37" t="s">
        <v>255</v>
      </c>
      <c r="C44" t="s">
        <v>256</v>
      </c>
    </row>
    <row r="45" spans="1:3">
      <c r="A45" s="4" t="s">
        <v>43</v>
      </c>
      <c r="B45" s="37" t="s">
        <v>255</v>
      </c>
      <c r="C45" t="s">
        <v>256</v>
      </c>
    </row>
    <row r="46" spans="1:3">
      <c r="A46" s="4" t="s">
        <v>44</v>
      </c>
      <c r="B46" s="37" t="s">
        <v>255</v>
      </c>
      <c r="C46" t="s">
        <v>256</v>
      </c>
    </row>
    <row r="47" spans="1:3">
      <c r="A47" s="4" t="s">
        <v>45</v>
      </c>
      <c r="B47" s="37" t="s">
        <v>255</v>
      </c>
      <c r="C47" t="s">
        <v>256</v>
      </c>
    </row>
    <row r="48" spans="1:3">
      <c r="A48" s="4" t="s">
        <v>46</v>
      </c>
      <c r="B48" s="37" t="s">
        <v>255</v>
      </c>
      <c r="C48" t="s">
        <v>256</v>
      </c>
    </row>
    <row r="49" spans="1:3">
      <c r="A49" s="4" t="s">
        <v>47</v>
      </c>
      <c r="B49" s="37" t="s">
        <v>255</v>
      </c>
      <c r="C49" t="s">
        <v>256</v>
      </c>
    </row>
    <row r="50" spans="1:3">
      <c r="A50" s="4" t="s">
        <v>48</v>
      </c>
      <c r="B50" s="37" t="s">
        <v>255</v>
      </c>
      <c r="C50" t="s">
        <v>256</v>
      </c>
    </row>
  </sheetData>
  <sheetProtection sheet="1" objects="1" scenarios="1"/>
  <conditionalFormatting sqref="A2">
    <cfRule type="expression" dxfId="15" priority="11">
      <formula>J2=1</formula>
    </cfRule>
  </conditionalFormatting>
  <conditionalFormatting sqref="A11">
    <cfRule type="cellIs" dxfId="14" priority="18" operator="equal">
      <formula>1</formula>
    </cfRule>
  </conditionalFormatting>
  <conditionalFormatting sqref="A12">
    <cfRule type="cellIs" dxfId="13" priority="16" operator="greaterThan">
      <formula>0</formula>
    </cfRule>
  </conditionalFormatting>
  <conditionalFormatting sqref="A15">
    <cfRule type="cellIs" dxfId="12" priority="17" operator="equal">
      <formula>1</formula>
    </cfRule>
  </conditionalFormatting>
  <conditionalFormatting sqref="A19">
    <cfRule type="colorScale" priority="15">
      <colorScale>
        <cfvo type="min"/>
        <cfvo type="percentile" val="50"/>
        <cfvo type="max"/>
        <color rgb="FF63BE7B"/>
        <color rgb="FFFCFCFF"/>
        <color rgb="FFF8696B"/>
      </colorScale>
    </cfRule>
  </conditionalFormatting>
  <conditionalFormatting sqref="A36:A48">
    <cfRule type="cellIs" dxfId="11" priority="13" operator="equal">
      <formula>"q"</formula>
    </cfRule>
  </conditionalFormatting>
  <conditionalFormatting sqref="A36:A50">
    <cfRule type="cellIs" dxfId="10" priority="10" operator="equal">
      <formula>"redo"</formula>
    </cfRule>
    <cfRule type="cellIs" dxfId="9" priority="12" operator="equal">
      <formula>"na"</formula>
    </cfRule>
    <cfRule type="cellIs" dxfId="8" priority="14" operator="equal">
      <formula>"y"</formula>
    </cfRule>
  </conditionalFormatting>
  <conditionalFormatting sqref="A1">
    <cfRule type="expression" dxfId="7" priority="2">
      <formula>J1=1</formula>
    </cfRule>
  </conditionalFormatting>
  <conditionalFormatting sqref="J1">
    <cfRule type="cellIs" dxfId="6" priority="9" operator="equal">
      <formula>1</formula>
    </cfRule>
  </conditionalFormatting>
  <conditionalFormatting sqref="K1">
    <cfRule type="cellIs" dxfId="5" priority="7" operator="greaterThan">
      <formula>0</formula>
    </cfRule>
  </conditionalFormatting>
  <conditionalFormatting sqref="N1">
    <cfRule type="cellIs" dxfId="4" priority="8" operator="equal">
      <formula>1</formula>
    </cfRule>
  </conditionalFormatting>
  <conditionalFormatting sqref="R1">
    <cfRule type="colorScale" priority="6">
      <colorScale>
        <cfvo type="min"/>
        <cfvo type="percentile" val="50"/>
        <cfvo type="max"/>
        <color rgb="FF63BE7B"/>
        <color rgb="FFFCFCFF"/>
        <color rgb="FFF8696B"/>
      </colorScale>
    </cfRule>
  </conditionalFormatting>
  <conditionalFormatting sqref="AI1:AU1">
    <cfRule type="cellIs" dxfId="3" priority="4" operator="equal">
      <formula>"q"</formula>
    </cfRule>
  </conditionalFormatting>
  <conditionalFormatting sqref="AI1:AW1">
    <cfRule type="cellIs" dxfId="2" priority="1" operator="equal">
      <formula>"redo"</formula>
    </cfRule>
    <cfRule type="cellIs" dxfId="1" priority="3" operator="equal">
      <formula>"na"</formula>
    </cfRule>
    <cfRule type="cellIs" dxfId="0" priority="5" operator="equal">
      <formul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585DE427A8974DA19DDC1B7C3CD855" ma:contentTypeVersion="15" ma:contentTypeDescription="Create a new document." ma:contentTypeScope="" ma:versionID="6a3c44da7d449269963dad63865ffd06">
  <xsd:schema xmlns:xsd="http://www.w3.org/2001/XMLSchema" xmlns:xs="http://www.w3.org/2001/XMLSchema" xmlns:p="http://schemas.microsoft.com/office/2006/metadata/properties" xmlns:ns3="f4b7b654-7103-4297-abd7-ff441018f48f" xmlns:ns4="51a00f5b-f6a3-4bc6-a096-50e52651edda" targetNamespace="http://schemas.microsoft.com/office/2006/metadata/properties" ma:root="true" ma:fieldsID="be06535a3829913f91de377d31707a43" ns3:_="" ns4:_="">
    <xsd:import namespace="f4b7b654-7103-4297-abd7-ff441018f48f"/>
    <xsd:import namespace="51a00f5b-f6a3-4bc6-a096-50e52651edd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MediaServiceDateTaken" minOccurs="0"/>
                <xsd:element ref="ns4:MediaServiceOCR" minOccurs="0"/>
                <xsd:element ref="ns4:MediaServiceLocation"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7b654-7103-4297-abd7-ff441018f48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a00f5b-f6a3-4bc6-a096-50e52651edd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1a00f5b-f6a3-4bc6-a096-50e52651edda" xsi:nil="true"/>
  </documentManagement>
</p:properties>
</file>

<file path=customXml/itemProps1.xml><?xml version="1.0" encoding="utf-8"?>
<ds:datastoreItem xmlns:ds="http://schemas.openxmlformats.org/officeDocument/2006/customXml" ds:itemID="{075C7F8B-A0AC-4D02-8E4E-695EDAB23E88}"/>
</file>

<file path=customXml/itemProps2.xml><?xml version="1.0" encoding="utf-8"?>
<ds:datastoreItem xmlns:ds="http://schemas.openxmlformats.org/officeDocument/2006/customXml" ds:itemID="{F1654851-E33D-4D4A-864D-943D1B0DD565}"/>
</file>

<file path=customXml/itemProps3.xml><?xml version="1.0" encoding="utf-8"?>
<ds:datastoreItem xmlns:ds="http://schemas.openxmlformats.org/officeDocument/2006/customXml" ds:itemID="{75EE05DE-F290-4B06-A09C-2E5C524137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Adam Munhall</cp:lastModifiedBy>
  <cp:revision/>
  <dcterms:created xsi:type="dcterms:W3CDTF">2012-08-24T00:51:46Z</dcterms:created>
  <dcterms:modified xsi:type="dcterms:W3CDTF">2024-11-25T18:44:46Z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0x01010026585DE427A8974DA19DDC1B7C3CD855</vt:lpwstr>
  </property>
</Properties>
</file>